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Edgar - Brother\Week 1 Excel Project at main\Saved\"/>
    </mc:Choice>
  </mc:AlternateContent>
  <xr:revisionPtr revIDLastSave="0" documentId="13_ncr:1_{8100956E-7162-401C-90AC-7446AF828038}" xr6:coauthVersionLast="47" xr6:coauthVersionMax="47" xr10:uidLastSave="{00000000-0000-0000-0000-000000000000}"/>
  <bookViews>
    <workbookView xWindow="-113" yWindow="-113" windowWidth="24267" windowHeight="13023" tabRatio="597" xr2:uid="{720439CB-7872-429C-94DD-03C07880A471}"/>
  </bookViews>
  <sheets>
    <sheet name="Raw_Dataset" sheetId="1" r:id="rId1"/>
    <sheet name="Cleaned_Dataset" sheetId="2" r:id="rId2"/>
    <sheet name="Analysis" sheetId="3" r:id="rId3"/>
    <sheet name="Pivot_Tables" sheetId="5" r:id="rId4"/>
    <sheet name="Dashboard" sheetId="6" r:id="rId5"/>
    <sheet name="Data_Dictionary" sheetId="7" r:id="rId6"/>
  </sheets>
  <definedNames>
    <definedName name="_xlnm._FilterDatabase" localSheetId="1" hidden="1">Cleaned_Dataset!$A$1:$F$116</definedName>
    <definedName name="Slicer_Discount_Category">#N/A</definedName>
    <definedName name="Slicer_Rating_Category">#N/A</definedName>
  </definedNames>
  <calcPr calcId="191029"/>
  <pivotCaches>
    <pivotCache cacheId="18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6" i="6" l="1"/>
  <c r="B7" i="3"/>
  <c r="M3" i="3" a="1"/>
  <c r="M3" i="3" s="1"/>
  <c r="L3" i="3" a="1"/>
  <c r="L3" i="3" s="1"/>
  <c r="K3" i="3" a="1"/>
  <c r="K3" i="3" s="1"/>
  <c r="J3" i="3" a="1"/>
  <c r="J3" i="3" s="1"/>
  <c r="I3" i="3" a="1"/>
  <c r="I3" i="3" s="1"/>
  <c r="V6" i="6"/>
  <c r="B6" i="3"/>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B13" i="3"/>
  <c r="B12" i="3"/>
  <c r="B11" i="3"/>
  <c r="B5" i="3"/>
  <c r="Q6" i="6" s="1"/>
  <c r="B4" i="3"/>
  <c r="M6" i="6" s="1"/>
  <c r="B3" i="3"/>
  <c r="H6" i="6" s="1"/>
  <c r="B2" i="3"/>
  <c r="D6" i="6"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C36" i="3" l="1"/>
  <c r="D36" i="3" s="1"/>
  <c r="C48" i="3"/>
  <c r="B48" i="3" s="1"/>
  <c r="C47" i="3"/>
  <c r="D47" i="3" s="1"/>
  <c r="C49" i="3"/>
  <c r="D49" i="3" s="1"/>
  <c r="C35" i="3"/>
  <c r="C54" i="3"/>
  <c r="B54" i="3" s="1"/>
  <c r="C46" i="3"/>
  <c r="C37" i="3"/>
  <c r="C34" i="3"/>
  <c r="C53" i="3"/>
  <c r="C23" i="3"/>
  <c r="B23" i="3" s="1"/>
  <c r="C40" i="3"/>
  <c r="C32" i="3"/>
  <c r="C51" i="3"/>
  <c r="C31" i="3"/>
  <c r="C33" i="3"/>
  <c r="C52" i="3"/>
  <c r="C45" i="3"/>
  <c r="C39" i="3"/>
  <c r="C50" i="3"/>
  <c r="C38" i="3"/>
  <c r="C22" i="3"/>
  <c r="B22" i="3" s="1"/>
  <c r="C21" i="3"/>
  <c r="B21" i="3" s="1"/>
  <c r="C20" i="3"/>
  <c r="B20" i="3" s="1"/>
  <c r="C19" i="3"/>
  <c r="B19" i="3" s="1"/>
  <c r="C26" i="3"/>
  <c r="B26" i="3" s="1"/>
  <c r="C18" i="3"/>
  <c r="B18" i="3" s="1"/>
  <c r="C25" i="3"/>
  <c r="B25" i="3" s="1"/>
  <c r="C17" i="3"/>
  <c r="C24" i="3"/>
  <c r="B24" i="3" s="1"/>
  <c r="B47" i="3" l="1"/>
  <c r="B36" i="3"/>
  <c r="D22" i="3"/>
  <c r="B49" i="3"/>
  <c r="D48" i="3"/>
  <c r="D40" i="3"/>
  <c r="B40" i="3"/>
  <c r="D53" i="3"/>
  <c r="B53" i="3"/>
  <c r="D37" i="3"/>
  <c r="B37" i="3"/>
  <c r="D23" i="3"/>
  <c r="B31" i="3"/>
  <c r="D31" i="3"/>
  <c r="D46" i="3"/>
  <c r="B46" i="3"/>
  <c r="D52" i="3"/>
  <c r="B52" i="3"/>
  <c r="D50" i="3"/>
  <c r="B50" i="3"/>
  <c r="D39" i="3"/>
  <c r="B39" i="3"/>
  <c r="B45" i="3"/>
  <c r="D45" i="3"/>
  <c r="D34" i="3"/>
  <c r="B34" i="3"/>
  <c r="B33" i="3"/>
  <c r="D33" i="3"/>
  <c r="D51" i="3"/>
  <c r="B51" i="3"/>
  <c r="D54" i="3"/>
  <c r="B38" i="3"/>
  <c r="D38" i="3"/>
  <c r="D32" i="3"/>
  <c r="B32" i="3"/>
  <c r="D35" i="3"/>
  <c r="B35" i="3"/>
  <c r="D26" i="3"/>
  <c r="D19" i="3"/>
  <c r="D25" i="3"/>
  <c r="D20" i="3"/>
  <c r="D21" i="3"/>
  <c r="D18" i="3"/>
  <c r="D17" i="3"/>
  <c r="B17" i="3"/>
  <c r="D24"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<sst xmlns="http://schemas.openxmlformats.org/spreadsheetml/2006/main" count="778" uniqueCount="483">
  <si>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</si>
  <si>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</si>
  <si>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</si>
  <si>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</si>
  <si>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</si>
  <si>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</si>
  <si>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</si>
  <si>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</si>
  <si>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</si>
  <si>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</si>
  <si>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</si>
  <si>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</si>
  <si>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</si>
  <si>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</si>
  <si>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</si>
  <si>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</si>
  <si>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</si>
  <si>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</si>
  <si>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</si>
  <si>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</si>
  <si>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</si>
  <si>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</si>
  <si>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</si>
  <si>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</si>
  <si>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</si>
  <si>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</si>
  <si>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</si>
  <si>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</si>
  <si>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</si>
  <si>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</si>
  <si>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</si>
  <si>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</si>
  <si>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</si>
  <si>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</si>
  <si>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</si>
  <si>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</si>
  <si>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</si>
  <si>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</si>
  <si>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</si>
  <si>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</si>
  <si>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</si>
  <si>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</si>
  <si>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</si>
  <si>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</si>
  <si>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</si>
  <si>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</si>
  <si>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</si>
  <si>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</si>
  <si>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</si>
  <si>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</si>
  <si>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</si>
  <si>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</si>
  <si>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</si>
  <si>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</si>
  <si>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</si>
  <si>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</si>
  <si>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</si>
  <si>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</si>
  <si>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</si>
  <si>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</si>
  <si>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</si>
  <si>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</si>
  <si>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</si>
  <si>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</si>
  <si>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</si>
  <si>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</si>
  <si>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</si>
  <si>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</si>
  <si>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</si>
  <si>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</si>
  <si>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</si>
  <si>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</si>
  <si>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</si>
  <si>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</si>
  <si>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</si>
  <si>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</si>
  <si>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</si>
  <si>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</si>
  <si>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</si>
  <si>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</si>
  <si>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</si>
  <si>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</si>
  <si>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</si>
  <si>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</si>
  <si>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</si>
  <si>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</si>
  <si>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</si>
  <si>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</si>
  <si>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</si>
  <si>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</si>
  <si>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</si>
  <si>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</si>
  <si>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</si>
  <si>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</si>
  <si>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</si>
  <si>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</si>
  <si>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</si>
  <si>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</si>
  <si>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</si>
  <si>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</si>
  <si>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</si>
  <si>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</si>
  <si>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</si>
  <si>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</si>
  <si>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</si>
  <si>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</si>
  <si>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</si>
  <si>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</si>
  <si>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</si>
  <si>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</si>
  <si>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</si>
  <si>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</si>
  <si>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</si>
  <si>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</si>
  <si>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</si>
  <si>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</si>
  <si>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</si>
  <si>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</si>
  <si>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</si>
  <si>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</si>
  <si>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</si>
  <si>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</si>
  <si>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</si>
  <si>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</si>
  <si>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</si>
  <si>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</si>
  <si>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</si>
  <si>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</si>
  <si>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</si>
  <si>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</si>
  <si>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</si>
  <si>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</si>
  <si>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</si>
  <si>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</si>
  <si>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</si>
  <si>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</si>
  <si>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</si>
  <si>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</si>
  <si>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</si>
  <si>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</si>
  <si>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</si>
  <si>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</si>
  <si>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</si>
  <si>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</si>
  <si>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</si>
  <si>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</si>
  <si>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</si>
  <si>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</si>
  <si>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</si>
  <si>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</si>
  <si>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</si>
  <si>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</si>
  <si>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</si>
  <si>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</si>
  <si>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</si>
  <si>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</si>
  <si>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</si>
  <si>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</si>
  <si>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</si>
  <si>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</si>
  <si>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</si>
  <si>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</si>
  <si>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</si>
  <si>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</si>
  <si>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</si>
  <si>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</si>
  <si>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</si>
  <si>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</si>
  <si>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</si>
  <si>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</si>
  <si>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</si>
  <si>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</si>
  <si>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</si>
  <si>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</si>
  <si>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</si>
  <si>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</si>
  <si>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</si>
  <si>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</si>
  <si>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</si>
  <si>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</si>
  <si>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</si>
  <si>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</si>
  <si>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</si>
  <si>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</si>
  <si>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</si>
  <si>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</si>
  <si>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</si>
  <si>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</si>
  <si>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</si>
  <si>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</si>
  <si>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</si>
  <si>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</si>
  <si>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</si>
  <si>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</si>
  <si>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</si>
  <si>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</si>
  <si>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</si>
  <si>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</si>
  <si>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</si>
  <si>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</si>
  <si>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</si>
  <si>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</si>
  <si>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</si>
  <si>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</si>
  <si>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</si>
  <si>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</si>
  <si>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</si>
  <si>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</si>
  <si>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</si>
  <si>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</si>
  <si>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</si>
  <si>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</si>
  <si>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</si>
  <si>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</si>
  <si>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</si>
  <si>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</si>
  <si>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</si>
  <si>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</si>
  <si>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</si>
  <si>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</si>
  <si>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</si>
  <si>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</si>
  <si>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</si>
  <si>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</si>
  <si>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</si>
  <si>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</si>
  <si>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</si>
  <si>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</si>
  <si>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</si>
  <si>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</si>
  <si>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</si>
  <si>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</si>
  <si>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</si>
  <si>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</si>
  <si>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</si>
  <si>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</si>
  <si>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</si>
  <si>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</si>
  <si>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</si>
  <si>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</si>
  <si>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</si>
  <si>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</si>
  <si>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</si>
  <si>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</si>
  <si>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</si>
  <si>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</si>
  <si>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</si>
  <si>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</si>
  <si>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</si>
  <si>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</si>
  <si>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</si>
  <si>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</si>
  <si>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</si>
  <si>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</si>
  <si>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</si>
  <si>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</si>
  <si>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</si>
  <si>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</si>
  <si>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</si>
  <si>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</si>
  <si>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</si>
  <si>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</si>
  <si>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</si>
  <si>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</si>
  <si>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</si>
  <si>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</si>
  <si>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</si>
  <si>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</si>
  <si>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</si>
  <si>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</si>
  <si>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</si>
  <si>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</si>
  <si>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</si>
  <si>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</si>
  <si>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</si>
  <si>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</si>
  <si>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</si>
  <si>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</si>
  <si>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</si>
  <si>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</si>
  <si>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</si>
  <si>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</si>
  <si>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</si>
  <si>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</si>
  <si>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</si>
  <si>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</si>
  <si>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</si>
  <si>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</si>
  <si>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</si>
  <si>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</si>
  <si>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</si>
  <si>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</si>
  <si>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</si>
  <si>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</si>
  <si>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</si>
  <si>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</si>
  <si>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</si>
  <si>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</si>
  <si>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</si>
  <si>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</si>
  <si>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</si>
  <si>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</si>
  <si>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</si>
  <si>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</si>
  <si>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</si>
  <si>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</si>
  <si>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</si>
  <si>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</si>
  <si>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</si>
  <si>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</si>
  <si>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</si>
  <si>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</si>
  <si>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</si>
  <si>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</si>
  <si>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</si>
  <si>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</si>
  <si>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</si>
  <si>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</si>
  <si>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</si>
  <si>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</si>
  <si>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</si>
  <si>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</si>
  <si>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</si>
  <si>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115 Piece Set Of Multifunctional Precision Screwdrivers</t>
  </si>
  <si>
    <t>Lasa Folding Table Serving Stand</t>
  </si>
  <si>
    <t>Lasa Digital Thermometer And Hydrometer</t>
  </si>
  <si>
    <t>Anti-Skid Absorbent Insulation Coaster For Home Office</t>
  </si>
  <si>
    <t>Peacock Throw Pillow Cushion Case For Home Car</t>
  </si>
  <si>
    <t>Lasa Aluminum Folding Truck Hand Cart - 68Kg Max</t>
  </si>
  <si>
    <t>3Pcs Single Head Knitting Crochet Sweater Needle Set</t>
  </si>
  <si>
    <t>4Pcs Bathroom/Kitchen Towel Rack,Roll Paper Holder,Towel Bars,Hook</t>
  </si>
  <si>
    <t>Lasa 3 Tier Bamboo Shoe Bench Storage Shelf</t>
  </si>
  <si>
    <t>Punch-Free Great Load Bearing Bathroom Storage Rack Wall Shelf-White</t>
  </si>
  <si>
    <t>Lasa Stainless Steel Double Wall Mount Soap Dispenser - 500Ml</t>
  </si>
  <si>
    <t>Modern Sofa Throw Pillow Cover-45X45Cm-Blue&amp;Red</t>
  </si>
  <si>
    <t>Balloon Insert, Birthday Party Balloon Set, Pu Leather</t>
  </si>
  <si>
    <t>2Pcs Solar Street Light Flood Light Outdoor</t>
  </si>
  <si>
    <t>Multi-Purpose Rice Drainage Basket And Fruit And Vegetable Drainage Sieve</t>
  </si>
  <si>
    <t>5 Pieces/Set Of Stainless Steel Induction Cooker Pots</t>
  </si>
  <si>
    <t>Mythco 120Cob Solar Wall Ligt With Motion Sensor And Remote Control 3 Modes</t>
  </si>
  <si>
    <t>5-Pcs Stainless Steel Cooking Pot Set With Steamed Slices</t>
  </si>
  <si>
    <t>Vic Wireless Vacuum Cleaner Dual Use For Home And Car 120W High Power Powerful</t>
  </si>
  <si>
    <t>32Pcs Portable Cordless Drill Set With Cyclic Battery Drive -26 Variable Speed</t>
  </si>
  <si>
    <t>7-Piece Set Of Storage Bags, Travel Storage Bags, Shoe Bags</t>
  </si>
  <si>
    <t>3Pcs Rotary Scraper Thermomix For Kitchen</t>
  </si>
  <si>
    <t>7Pcs Silicone Thumb Knife Finger Protector Vegetable Harvesting Knife</t>
  </si>
  <si>
    <t>Memory Foam Neck Pillow Cover, With Pillow Core - 50*30Cm</t>
  </si>
  <si>
    <t>2 Pairs Cowhide Split Leather Work Gloves.32Â„‰ Or Above Welding Gloves</t>
  </si>
  <si>
    <t>Outdoor Portable Water Bottle With Medicine Box - 600Ml - Black</t>
  </si>
  <si>
    <t>2Pcs Ice Silk Square Cushion Cover Pillowcases - 65X65Cm</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</si>
  <si>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</si>
  <si>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</si>
  <si>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</si>
  <si>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</si>
  <si>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Cartoon Embroidered Mini Towel Bear Cotton Wash Cloth Hand 4Pcs</t>
  </si>
  <si>
    <t>Wall-Mounted Sticker Punch-Free Plug Fixer</t>
  </si>
  <si>
    <t>Desk Foldable Fan Adjustable Fan Strong Wind 3 Gear USB</t>
  </si>
  <si>
    <t>380Ml USB Rechargeable Portable Small Blenders And Juicers</t>
  </si>
  <si>
    <t>LED Eye Protection Desk Lamp , Study, Reading, USB Fan - Double Pen Holder</t>
  </si>
  <si>
    <t>Intelligent LED Body Sensor Wireless Lighting Night Light USB</t>
  </si>
  <si>
    <t>2Pcs/Lot Solar LED Outdoor Intelligent Light ControlLED Wall Lamp</t>
  </si>
  <si>
    <t>5M Waterproof Spherical LED String Lights Outdoor Ball Chain Lights Party Lighting Decoration Adjustable</t>
  </si>
  <si>
    <t>8In1 Screwdriver With LED Light</t>
  </si>
  <si>
    <t>LED Solar Street Light-Fake Camera</t>
  </si>
  <si>
    <t>40Cm Gold DIY Acrylic Wall Sticker Clock</t>
  </si>
  <si>
    <t>12V 19500RPM Handheld Electric Angle Grinder Tool - UK - Yellow/Black</t>
  </si>
  <si>
    <t>Genebre 115 In 1 Screwdriver Repairing Tool Set For iPhone Cellphone Hand Tool</t>
  </si>
  <si>
    <t>Multifunctional Storage Rack Multi-Layer Booelf</t>
  </si>
  <si>
    <t>Current price (Ksh)</t>
  </si>
  <si>
    <t>old price (Ksh)</t>
  </si>
  <si>
    <t>Rating</t>
  </si>
  <si>
    <t/>
  </si>
  <si>
    <t>Rating Category</t>
  </si>
  <si>
    <t>Discount Category</t>
  </si>
  <si>
    <t>Discount Amount</t>
  </si>
  <si>
    <t>Total Products</t>
  </si>
  <si>
    <t>Average Price (KSh)</t>
  </si>
  <si>
    <t>Average Discount</t>
  </si>
  <si>
    <t>Average Rating</t>
  </si>
  <si>
    <t>Total Reviews</t>
  </si>
  <si>
    <t>Key Performance Indicators (KPIs)</t>
  </si>
  <si>
    <t>Correlations</t>
  </si>
  <si>
    <t>Discount vs Reviews (Q1)</t>
  </si>
  <si>
    <t>Rating vs Reviews (Q2)</t>
  </si>
  <si>
    <t>Price vs Rating (Q3)</t>
  </si>
  <si>
    <t>Top 10 By Rating</t>
  </si>
  <si>
    <t>Rank</t>
  </si>
  <si>
    <t>Rating Rank Key</t>
  </si>
  <si>
    <t>Real Rating</t>
  </si>
  <si>
    <t>Value</t>
  </si>
  <si>
    <t>Top 10 by Reviews</t>
  </si>
  <si>
    <t>Review Count</t>
  </si>
  <si>
    <t>Review Rank Key</t>
  </si>
  <si>
    <t>Discount Rank Key</t>
  </si>
  <si>
    <t>Sort Key</t>
  </si>
  <si>
    <t>Top 10 by Discount</t>
  </si>
  <si>
    <t>Discount %</t>
  </si>
  <si>
    <t>Row Labels</t>
  </si>
  <si>
    <t>High Discount</t>
  </si>
  <si>
    <t>Low Discount</t>
  </si>
  <si>
    <t>Medium Discount</t>
  </si>
  <si>
    <t>Grand Total</t>
  </si>
  <si>
    <t>Count of Product</t>
  </si>
  <si>
    <t>Discount Mix</t>
  </si>
  <si>
    <t>Rating Mix</t>
  </si>
  <si>
    <t>Average</t>
  </si>
  <si>
    <t>Excellent</t>
  </si>
  <si>
    <t>Missing</t>
  </si>
  <si>
    <t>Poor</t>
  </si>
  <si>
    <t>Engagement by Discount</t>
  </si>
  <si>
    <t>Sum of Review</t>
  </si>
  <si>
    <t>Average of Review</t>
  </si>
  <si>
    <t>Top Products by Rating</t>
  </si>
  <si>
    <t>Average of Rating</t>
  </si>
  <si>
    <t>Top Products by Reviews</t>
  </si>
  <si>
    <t>Avg Price (KSh)</t>
  </si>
  <si>
    <t xml:space="preserve">Avg Discount </t>
  </si>
  <si>
    <t>Avg Rating</t>
  </si>
  <si>
    <t xml:space="preserve">Total Reviews </t>
  </si>
  <si>
    <t>Average of Discount</t>
  </si>
  <si>
    <t>Top Products by Discount</t>
  </si>
  <si>
    <t xml:space="preserve">Key Insights </t>
  </si>
  <si>
    <t>Field Definitions</t>
  </si>
  <si>
    <t>Field Name</t>
  </si>
  <si>
    <t>Meaning</t>
  </si>
  <si>
    <t>Cleaned Data Type</t>
  </si>
  <si>
    <t>Product name/title as listed on Jumia</t>
  </si>
  <si>
    <t>Current selling price after discount</t>
  </si>
  <si>
    <t>Original price before discount</t>
  </si>
  <si>
    <t>Advertised percentage discount</t>
  </si>
  <si>
    <t>Number of customer reviews</t>
  </si>
  <si>
    <t>Average customer rating out of 5</t>
  </si>
  <si>
    <t>Text</t>
  </si>
  <si>
    <t>Number/Currency</t>
  </si>
  <si>
    <t>Percentage</t>
  </si>
  <si>
    <t>Whole Number</t>
  </si>
  <si>
    <t>Decimal Number</t>
  </si>
  <si>
    <t>Cleaning Log</t>
  </si>
  <si>
    <t>Issue</t>
  </si>
  <si>
    <t>Double spaces &amp; inconsistent casing in product names</t>
  </si>
  <si>
    <t>Lowercase/incorrect acronyms such as Usb, Led, Uv, etc.</t>
  </si>
  <si>
    <t>Prices stored as text with "KSh" prefix and commas</t>
  </si>
  <si>
    <t>Review counts stored as negative numbers</t>
  </si>
  <si>
    <t>One price stored as a range e.g., 1,620 - 1,980</t>
  </si>
  <si>
    <t>Rating stored as text such as 4.5 out of 5</t>
  </si>
  <si>
    <t>Missing Rating/Review values</t>
  </si>
  <si>
    <t>Header "Ratingd" misspelled</t>
  </si>
  <si>
    <t>Rows Affected</t>
  </si>
  <si>
    <t>All 115</t>
  </si>
  <si>
    <t>~15</t>
  </si>
  <si>
    <t>~50</t>
  </si>
  <si>
    <t>~58</t>
  </si>
  <si>
    <t>1 (header)</t>
  </si>
  <si>
    <t>Decision</t>
  </si>
  <si>
    <t>Applied PROPER(TRIM())</t>
  </si>
  <si>
    <t>Find &amp; Replace to correct casing</t>
  </si>
  <si>
    <t>Removed "KSh" and commas, converted to number</t>
  </si>
  <si>
    <t>Converted to absolute/whole numbers</t>
  </si>
  <si>
    <t>Used the lower bound value</t>
  </si>
  <si>
    <t>Extracted numeric value via formula</t>
  </si>
  <si>
    <t>Left blank, excluded from averages/correlations</t>
  </si>
  <si>
    <t>Renamed to "Rating"</t>
  </si>
  <si>
    <t>Reason</t>
  </si>
  <si>
    <t>Standardize text formatting for readability</t>
  </si>
  <si>
    <t>PROPER() incorrectly lowercased known acronyms</t>
  </si>
  <si>
    <t>Needed numeric values for calculations</t>
  </si>
  <si>
    <t>Negative sign was a scraping artifact; review counts cannot be negative</t>
  </si>
  <si>
    <t>Simplest defensible choice to keep data numeric and comparable</t>
  </si>
  <si>
    <t>Needed decimal number for calculations</t>
  </si>
  <si>
    <t>Blank means not captured, thus, not zero avoids skewing statistics</t>
  </si>
  <si>
    <t>Correct labeling for clarity</t>
  </si>
  <si>
    <t>Category Thresholds</t>
  </si>
  <si>
    <t>Rating Category:</t>
  </si>
  <si>
    <t>Poor: below 3</t>
  </si>
  <si>
    <t>Average: 3 to 4.5</t>
  </si>
  <si>
    <t>Excellent: above 4.5</t>
  </si>
  <si>
    <t>Discount Category:</t>
  </si>
  <si>
    <t>Low Discount: below 20%</t>
  </si>
  <si>
    <t>Medium Discount: 20% to 40%</t>
  </si>
  <si>
    <t>High Discount: above 40%</t>
  </si>
  <si>
    <t>Products Needing Pricing/Marketing Attention</t>
  </si>
  <si>
    <t>Discount vs Rating Cross-tab</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</si>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</sst>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2"/>
      <color theme="1"/>
      <name val="Aptos Narrow"/>
      <family val="2"/>
      <scheme val="minor"/>
    </font>
    <font>
      <sz val="8"/>
      <name val="Aptos Narrow"/>
      <family val="2"/>
      <scheme val="minor"/>
    </font>
    <font>
      <b/>
      <sz val="24"/>
      <color theme="1"/>
      <name val="Times New Roman"/>
      <family val="1"/>
    </font>
    <font>
      <sz val="9.9"/>
      <color rgb="FF8C8C8C"/>
      <name val="Courier New"/>
      <family val="3"/>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3">
    <xf numFmtId="0" fontId="0" fillId="0" borderId="0" xfId="0"/>
    <xf numFmtId="9" fontId="0" fillId="0" borderId="0" xfId="0" applyNumberFormat="1"/>
    <xf numFmtId="2" fontId="0" fillId="0" borderId="0" xfId="0" applyNumberFormat="1"/>
    <xf numFmtId="10" fontId="0" fillId="0" borderId="0" xfId="0" applyNumberFormat="1"/>
    <xf numFmtId="1" fontId="0" fillId="0" borderId="0" xfId="0" applyNumberFormat="1"/>
    <xf numFmtId="0" fontId="16" fillId="0" borderId="0" xfId="0" applyFont="1"/>
    <xf numFmtId="0" fontId="0" fillId="0" borderId="0" xfId="0" pivotButton="1"/>
    <xf numFmtId="0" fontId="0" fillId="0" borderId="0" xfId="0" applyAlignment="1">
      <alignment horizontal="left"/>
    </xf>
    <xf numFmtId="0" fontId="16" fillId="0" borderId="0" xfId="0" applyFont="1" applyAlignment="1">
      <alignment horizontal="center"/>
    </xf>
    <xf numFmtId="0" fontId="16" fillId="0" borderId="0" xfId="0" applyFont="1" applyAlignment="1">
      <alignment horizontal="center" vertical="center"/>
    </xf>
    <xf numFmtId="0" fontId="0" fillId="0" borderId="0" xfId="0" applyAlignment="1">
      <alignment horizontal="center"/>
    </xf>
    <xf numFmtId="0" fontId="0" fillId="0" borderId="0" xfId="0" applyAlignment="1">
      <alignment horizontal="center" vertical="center"/>
    </xf>
    <xf numFmtId="0" fontId="18" fillId="0" borderId="0" xfId="0" applyFont="1" applyAlignment="1">
      <alignment horizontal="center" vertical="center"/>
    </xf>
    <xf numFmtId="0" fontId="0" fillId="34" borderId="10" xfId="0" applyFill="1" applyBorder="1" applyAlignment="1">
      <alignment horizontal="center" vertical="center"/>
    </xf>
    <xf numFmtId="0" fontId="18" fillId="0" borderId="0" xfId="0" applyFont="1"/>
    <xf numFmtId="0" fontId="18" fillId="34" borderId="10" xfId="0" applyFont="1" applyFill="1" applyBorder="1" applyAlignment="1">
      <alignment horizontal="center" vertical="center"/>
    </xf>
    <xf numFmtId="0" fontId="19" fillId="35" borderId="10" xfId="0" applyFont="1" applyFill="1" applyBorder="1" applyAlignment="1">
      <alignment horizontal="center" vertical="center"/>
    </xf>
    <xf numFmtId="0" fontId="0" fillId="35" borderId="10" xfId="0" applyFill="1" applyBorder="1" applyAlignment="1">
      <alignment horizontal="center" vertical="center"/>
    </xf>
    <xf numFmtId="1" fontId="19" fillId="35" borderId="10" xfId="0" applyNumberFormat="1" applyFont="1" applyFill="1" applyBorder="1" applyAlignment="1">
      <alignment horizontal="center" vertical="center"/>
    </xf>
    <xf numFmtId="0" fontId="18" fillId="34" borderId="10" xfId="0" applyFont="1" applyFill="1" applyBorder="1" applyAlignment="1">
      <alignment horizontal="center" vertical="center" shrinkToFit="1"/>
    </xf>
    <xf numFmtId="0" fontId="0" fillId="34" borderId="10" xfId="0" applyFill="1" applyBorder="1" applyAlignment="1">
      <alignment horizontal="center" vertical="center" shrinkToFit="1"/>
    </xf>
    <xf numFmtId="0" fontId="19" fillId="35" borderId="10" xfId="0" applyFont="1" applyFill="1" applyBorder="1" applyAlignment="1">
      <alignment horizontal="center" vertical="center" shrinkToFit="1"/>
    </xf>
    <xf numFmtId="0" fontId="0" fillId="0" borderId="0" xfId="0" applyNumberFormat="1"/>
    <xf numFmtId="0" fontId="21" fillId="0" borderId="0" xfId="0" applyFont="1" applyAlignment="1">
      <alignment horizontal="center"/>
    </xf>
    <xf numFmtId="0" fontId="21" fillId="0" borderId="0" xfId="0" applyFont="1" applyAlignment="1">
      <alignment horizontal="center" vertical="center"/>
    </xf>
    <xf numFmtId="0" fontId="0" fillId="0" borderId="0" xfId="0" applyAlignment="1">
      <alignment wrapText="1"/>
    </xf>
    <xf numFmtId="0" fontId="0" fillId="0" borderId="14" xfId="0" applyBorder="1"/>
    <xf numFmtId="0" fontId="0" fillId="0" borderId="15" xfId="0" applyBorder="1"/>
    <xf numFmtId="0" fontId="0" fillId="0" borderId="13" xfId="0" applyBorder="1"/>
    <xf numFmtId="0" fontId="0" fillId="0" borderId="16" xfId="0" applyBorder="1"/>
    <xf numFmtId="0" fontId="0" fillId="0" borderId="10" xfId="0" applyBorder="1"/>
    <xf numFmtId="0" fontId="0" fillId="0" borderId="17" xfId="0" applyBorder="1"/>
    <xf numFmtId="0" fontId="0" fillId="0" borderId="12" xfId="0" applyBorder="1"/>
    <xf numFmtId="0" fontId="0" fillId="0" borderId="18" xfId="0" applyBorder="1"/>
    <xf numFmtId="0" fontId="0" fillId="0" borderId="11" xfId="0" applyBorder="1"/>
    <xf numFmtId="0" fontId="0" fillId="0" borderId="16" xfId="0" applyBorder="1" applyAlignment="1">
      <alignment wrapText="1"/>
    </xf>
    <xf numFmtId="0" fontId="16" fillId="33" borderId="14" xfId="0" applyFont="1" applyFill="1" applyBorder="1"/>
    <xf numFmtId="2" fontId="16" fillId="33" borderId="15" xfId="0" applyNumberFormat="1" applyFont="1" applyFill="1" applyBorder="1"/>
    <xf numFmtId="10" fontId="16" fillId="33" borderId="15" xfId="0" applyNumberFormat="1" applyFont="1" applyFill="1" applyBorder="1"/>
    <xf numFmtId="1" fontId="16" fillId="33" borderId="15" xfId="0" applyNumberFormat="1" applyFont="1" applyFill="1" applyBorder="1"/>
    <xf numFmtId="0" fontId="16" fillId="33" borderId="15" xfId="0" applyFont="1" applyFill="1" applyBorder="1"/>
    <xf numFmtId="0" fontId="0" fillId="33" borderId="15" xfId="0" applyFill="1" applyBorder="1"/>
    <xf numFmtId="0" fontId="0" fillId="33" borderId="13" xfId="0" applyFill="1" applyBorder="1"/>
    <xf numFmtId="2" fontId="0" fillId="0" borderId="10" xfId="0" applyNumberFormat="1" applyBorder="1"/>
    <xf numFmtId="10" fontId="0" fillId="0" borderId="10" xfId="0" applyNumberFormat="1" applyBorder="1"/>
    <xf numFmtId="1" fontId="0" fillId="0" borderId="10" xfId="0" applyNumberFormat="1" applyBorder="1"/>
    <xf numFmtId="2" fontId="0" fillId="0" borderId="18" xfId="0" applyNumberFormat="1" applyBorder="1"/>
    <xf numFmtId="10" fontId="0" fillId="0" borderId="18" xfId="0" applyNumberFormat="1" applyBorder="1"/>
    <xf numFmtId="1" fontId="0" fillId="0" borderId="18" xfId="0" applyNumberFormat="1" applyBorder="1"/>
    <xf numFmtId="0" fontId="16" fillId="0" borderId="14" xfId="0" applyFont="1" applyBorder="1" applyAlignment="1">
      <alignment wrapText="1"/>
    </xf>
    <xf numFmtId="1" fontId="0" fillId="0" borderId="11" xfId="0" applyNumberFormat="1" applyBorder="1"/>
    <xf numFmtId="0" fontId="16" fillId="0" borderId="14" xfId="0" applyFont="1" applyBorder="1"/>
    <xf numFmtId="0" fontId="16" fillId="0" borderId="15" xfId="0" applyFont="1" applyBorder="1"/>
    <xf numFmtId="0" fontId="16" fillId="0" borderId="13" xfId="0" applyFont="1" applyBorder="1"/>
    <xf numFmtId="49" fontId="0" fillId="0" borderId="10" xfId="0" applyNumberFormat="1" applyBorder="1"/>
    <xf numFmtId="0" fontId="0" fillId="0" borderId="10" xfId="0" applyBorder="1" applyAlignment="1">
      <alignment wrapText="1"/>
    </xf>
    <xf numFmtId="0" fontId="0" fillId="0" borderId="18" xfId="0" applyBorder="1" applyAlignment="1">
      <alignment wrapText="1"/>
    </xf>
    <xf numFmtId="0" fontId="0" fillId="0" borderId="17" xfId="0" applyBorder="1" applyAlignment="1">
      <alignment wrapText="1"/>
    </xf>
    <xf numFmtId="0" fontId="0" fillId="0" borderId="0" xfId="0" applyAlignment="1"/>
    <xf numFmtId="0" fontId="16" fillId="0" borderId="10" xfId="0" applyFont="1" applyBorder="1"/>
    <xf numFmtId="0" fontId="0" fillId="0" borderId="0" xfId="0" applyAlignment="1">
      <alignment horizontal="left"/>
    </xf>
    <xf numFmtId="0" fontId="16" fillId="0" borderId="0" xfId="0" applyFont="1" applyAlignment="1">
      <alignment horizontal="left"/>
    </xf>
    <xf numFmtId="0" fontId="0" fillId="36" borderId="0" xfId="0" applyFill="1"/>
    <xf numFmtId="0" fontId="0" fillId="0" borderId="0" xfId="0" applyBorder="1" applyAlignment="1">
      <alignment wrapText="1"/>
    </xf>
    <xf numFmtId="0" fontId="0" fillId="0" borderId="0" xfId="0" applyBorder="1"/>
    <xf numFmtId="0" fontId="22" fillId="0" borderId="0" xfId="0" applyFont="1" applyBorder="1" applyAlignment="1">
      <alignment vertical="center"/>
    </xf>
    <xf numFmtId="0" fontId="0" fillId="33" borderId="10" xfId="0" applyFill="1" applyBorder="1" applyAlignment="1">
      <alignment wrapText="1"/>
    </xf>
    <xf numFmtId="0" fontId="0" fillId="33" borderId="10" xfId="0" applyFill="1" applyBorder="1"/>
    <xf numFmtId="1" fontId="0" fillId="0" borderId="0" xfId="0" applyNumberFormat="1" applyBorder="1"/>
    <xf numFmtId="1" fontId="0" fillId="0" borderId="17" xfId="0" applyNumberFormat="1" applyBorder="1"/>
    <xf numFmtId="0" fontId="0" fillId="0" borderId="12" xfId="0" applyBorder="1" applyAlignment="1">
      <alignment wrapText="1"/>
    </xf>
    <xf numFmtId="0" fontId="18" fillId="34" borderId="10" xfId="0" applyFont="1" applyFill="1" applyBorder="1" applyAlignment="1">
      <alignment horizontal="center" vertical="center" wrapText="1"/>
    </xf>
    <xf numFmtId="0" fontId="0" fillId="34" borderId="10" xfId="0"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7">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indexed="64"/>
        </top>
        <bottom style="thin">
          <color indexed="64"/>
        </bottom>
      </border>
    </dxf>
    <dxf>
      <numFmt numFmtId="0" formatCode="Genera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top style="thin">
          <color indexed="64"/>
        </top>
        <bottom style="thin">
          <color indexed="64"/>
        </bottom>
      </border>
    </dxf>
    <dxf>
      <border diagonalUp="0" diagonalDown="0" outline="0">
        <left/>
        <right style="thin">
          <color indexed="64"/>
        </right>
        <top style="thin">
          <color indexed="64"/>
        </top>
        <bottom style="thin">
          <color indexed="64"/>
        </bottom>
      </border>
    </dxf>
    <dxf>
      <numFmt numFmtId="30" formatCode="@"/>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fgColor indexed="64"/>
          <bgColor theme="5"/>
        </patternFill>
      </fill>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 % vs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Cleaned_Dataset!$E$1</c:f>
              <c:strCache>
                <c:ptCount val="1"/>
                <c:pt idx="0">
                  <c:v>Review</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5.5862204724409448E-2"/>
                  <c:y val="-0.1977125255176436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Cleaned_Dataset!$D$2:$D$116</c:f>
              <c:numCache>
                <c:formatCode>0.00%</c:formatCode>
                <c:ptCount val="115"/>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0.42</c:v>
                </c:pt>
                <c:pt idx="44">
                  <c:v>0.02</c:v>
                </c:pt>
                <c:pt idx="45">
                  <c:v>0.5</c:v>
                </c:pt>
                <c:pt idx="46">
                  <c:v>0.33</c:v>
                </c:pt>
                <c:pt idx="47">
                  <c:v>0.49</c:v>
                </c:pt>
                <c:pt idx="48">
                  <c:v>0.38</c:v>
                </c:pt>
                <c:pt idx="49">
                  <c:v>0.61</c:v>
                </c:pt>
                <c:pt idx="50">
                  <c:v>0.5</c:v>
                </c:pt>
                <c:pt idx="51">
                  <c:v>0.02</c:v>
                </c:pt>
                <c:pt idx="52">
                  <c:v>0.22</c:v>
                </c:pt>
                <c:pt idx="53">
                  <c:v>0.03</c:v>
                </c:pt>
                <c:pt idx="54">
                  <c:v>0.41</c:v>
                </c:pt>
                <c:pt idx="55">
                  <c:v>0.45</c:v>
                </c:pt>
                <c:pt idx="56">
                  <c:v>0.48</c:v>
                </c:pt>
                <c:pt idx="57">
                  <c:v>0.49</c:v>
                </c:pt>
                <c:pt idx="58">
                  <c:v>0.27</c:v>
                </c:pt>
                <c:pt idx="59">
                  <c:v>0.55000000000000004</c:v>
                </c:pt>
                <c:pt idx="60">
                  <c:v>0.13</c:v>
                </c:pt>
                <c:pt idx="61">
                  <c:v>0.54</c:v>
                </c:pt>
                <c:pt idx="62">
                  <c:v>0.55000000000000004</c:v>
                </c:pt>
                <c:pt idx="63">
                  <c:v>0.49</c:v>
                </c:pt>
                <c:pt idx="64">
                  <c:v>0.52</c:v>
                </c:pt>
                <c:pt idx="65">
                  <c:v>0.22</c:v>
                </c:pt>
                <c:pt idx="66">
                  <c:v>0.45</c:v>
                </c:pt>
                <c:pt idx="67">
                  <c:v>0.5</c:v>
                </c:pt>
                <c:pt idx="68">
                  <c:v>0.39</c:v>
                </c:pt>
                <c:pt idx="69">
                  <c:v>0.45</c:v>
                </c:pt>
                <c:pt idx="70">
                  <c:v>0.28999999999999998</c:v>
                </c:pt>
                <c:pt idx="71">
                  <c:v>0.43</c:v>
                </c:pt>
                <c:pt idx="72">
                  <c:v>0.43</c:v>
                </c:pt>
                <c:pt idx="73">
                  <c:v>0.47</c:v>
                </c:pt>
                <c:pt idx="74">
                  <c:v>0.47</c:v>
                </c:pt>
                <c:pt idx="75">
                  <c:v>0.47</c:v>
                </c:pt>
                <c:pt idx="76">
                  <c:v>0.43</c:v>
                </c:pt>
                <c:pt idx="77">
                  <c:v>0.04</c:v>
                </c:pt>
                <c:pt idx="78">
                  <c:v>0.49</c:v>
                </c:pt>
                <c:pt idx="79">
                  <c:v>0.46</c:v>
                </c:pt>
                <c:pt idx="80">
                  <c:v>0.49</c:v>
                </c:pt>
                <c:pt idx="81">
                  <c:v>0.36</c:v>
                </c:pt>
                <c:pt idx="82">
                  <c:v>0.02</c:v>
                </c:pt>
                <c:pt idx="83">
                  <c:v>0.49</c:v>
                </c:pt>
                <c:pt idx="84">
                  <c:v>0.42</c:v>
                </c:pt>
                <c:pt idx="85">
                  <c:v>0.49</c:v>
                </c:pt>
                <c:pt idx="86">
                  <c:v>0.14000000000000001</c:v>
                </c:pt>
                <c:pt idx="87">
                  <c:v>0.49</c:v>
                </c:pt>
                <c:pt idx="88">
                  <c:v>0.11</c:v>
                </c:pt>
                <c:pt idx="89">
                  <c:v>0.49</c:v>
                </c:pt>
                <c:pt idx="90">
                  <c:v>0.14000000000000001</c:v>
                </c:pt>
                <c:pt idx="91">
                  <c:v>0.43</c:v>
                </c:pt>
                <c:pt idx="92">
                  <c:v>0.5</c:v>
                </c:pt>
                <c:pt idx="93">
                  <c:v>0.48</c:v>
                </c:pt>
                <c:pt idx="94">
                  <c:v>0.48</c:v>
                </c:pt>
                <c:pt idx="95">
                  <c:v>0.47</c:v>
                </c:pt>
                <c:pt idx="96">
                  <c:v>0.47</c:v>
                </c:pt>
                <c:pt idx="97">
                  <c:v>0.5</c:v>
                </c:pt>
                <c:pt idx="98">
                  <c:v>0.08</c:v>
                </c:pt>
                <c:pt idx="99">
                  <c:v>0.02</c:v>
                </c:pt>
                <c:pt idx="100">
                  <c:v>0.49</c:v>
                </c:pt>
                <c:pt idx="101">
                  <c:v>0.04</c:v>
                </c:pt>
                <c:pt idx="102">
                  <c:v>0.49</c:v>
                </c:pt>
                <c:pt idx="103">
                  <c:v>0.42</c:v>
                </c:pt>
                <c:pt idx="104">
                  <c:v>0.21</c:v>
                </c:pt>
                <c:pt idx="105">
                  <c:v>0.41</c:v>
                </c:pt>
                <c:pt idx="106">
                  <c:v>0.01</c:v>
                </c:pt>
                <c:pt idx="107">
                  <c:v>0.24</c:v>
                </c:pt>
                <c:pt idx="108">
                  <c:v>0.34</c:v>
                </c:pt>
                <c:pt idx="109">
                  <c:v>0.34</c:v>
                </c:pt>
                <c:pt idx="110">
                  <c:v>0.02</c:v>
                </c:pt>
                <c:pt idx="111">
                  <c:v>0.02</c:v>
                </c:pt>
                <c:pt idx="112">
                  <c:v>0.64</c:v>
                </c:pt>
                <c:pt idx="113">
                  <c:v>0.5</c:v>
                </c:pt>
                <c:pt idx="114">
                  <c:v>0.47</c:v>
                </c:pt>
              </c:numCache>
            </c:numRef>
          </c:xVal>
          <c:yVal>
            <c:numRef>
              <c:f>Cleaned_Dataset!$E$2:$E$116</c:f>
              <c:numCache>
                <c:formatCode>0</c:formatCode>
                <c:ptCount val="115"/>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60">
                  <c:v>6</c:v>
                </c:pt>
                <c:pt idx="61">
                  <c:v>10</c:v>
                </c:pt>
                <c:pt idx="62">
                  <c:v>13</c:v>
                </c:pt>
                <c:pt idx="63">
                  <c:v>69</c:v>
                </c:pt>
                <c:pt idx="64">
                  <c:v>15</c:v>
                </c:pt>
                <c:pt idx="65">
                  <c:v>16</c:v>
                </c:pt>
                <c:pt idx="66">
                  <c:v>6</c:v>
                </c:pt>
                <c:pt idx="67">
                  <c:v>7</c:v>
                </c:pt>
                <c:pt idx="68">
                  <c:v>5</c:v>
                </c:pt>
                <c:pt idx="69">
                  <c:v>17</c:v>
                </c:pt>
                <c:pt idx="70">
                  <c:v>5</c:v>
                </c:pt>
                <c:pt idx="71">
                  <c:v>6</c:v>
                </c:pt>
                <c:pt idx="72">
                  <c:v>5</c:v>
                </c:pt>
                <c:pt idx="73">
                  <c:v>6</c:v>
                </c:pt>
                <c:pt idx="74">
                  <c:v>7</c:v>
                </c:pt>
                <c:pt idx="79">
                  <c:v>1</c:v>
                </c:pt>
                <c:pt idx="80">
                  <c:v>1</c:v>
                </c:pt>
                <c:pt idx="83">
                  <c:v>1</c:v>
                </c:pt>
                <c:pt idx="104">
                  <c:v>1</c:v>
                </c:pt>
                <c:pt idx="113">
                  <c:v>1</c:v>
                </c:pt>
              </c:numCache>
            </c:numRef>
          </c:yVal>
          <c:smooth val="0"/>
          <c:extLst>
            <c:ext xmlns:c16="http://schemas.microsoft.com/office/drawing/2014/chart" uri="{C3380CC4-5D6E-409C-BE32-E72D297353CC}">
              <c16:uniqueId val="{00000000-09EE-406E-9A9B-BC34A804FD7B}"/>
            </c:ext>
          </c:extLst>
        </c:ser>
        <c:dLbls>
          <c:showLegendKey val="0"/>
          <c:showVal val="0"/>
          <c:showCatName val="0"/>
          <c:showSerName val="0"/>
          <c:showPercent val="0"/>
          <c:showBubbleSize val="0"/>
        </c:dLbls>
        <c:axId val="247362287"/>
        <c:axId val="294552703"/>
      </c:scatterChart>
      <c:valAx>
        <c:axId val="24736228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552703"/>
        <c:crosses val="autoZero"/>
        <c:crossBetween val="midCat"/>
      </c:valAx>
      <c:valAx>
        <c:axId val="2945527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3622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Rating vs Reviews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Cleaned_Dataset!$F$1</c:f>
              <c:strCache>
                <c:ptCount val="1"/>
                <c:pt idx="0">
                  <c:v>Rating</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4.3811679790026245E-2"/>
                  <c:y val="0.343291411490230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Cleaned_Dataset!$E$2:$E$116</c:f>
              <c:numCache>
                <c:formatCode>0</c:formatCode>
                <c:ptCount val="115"/>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60">
                  <c:v>6</c:v>
                </c:pt>
                <c:pt idx="61">
                  <c:v>10</c:v>
                </c:pt>
                <c:pt idx="62">
                  <c:v>13</c:v>
                </c:pt>
                <c:pt idx="63">
                  <c:v>69</c:v>
                </c:pt>
                <c:pt idx="64">
                  <c:v>15</c:v>
                </c:pt>
                <c:pt idx="65">
                  <c:v>16</c:v>
                </c:pt>
                <c:pt idx="66">
                  <c:v>6</c:v>
                </c:pt>
                <c:pt idx="67">
                  <c:v>7</c:v>
                </c:pt>
                <c:pt idx="68">
                  <c:v>5</c:v>
                </c:pt>
                <c:pt idx="69">
                  <c:v>17</c:v>
                </c:pt>
                <c:pt idx="70">
                  <c:v>5</c:v>
                </c:pt>
                <c:pt idx="71">
                  <c:v>6</c:v>
                </c:pt>
                <c:pt idx="72">
                  <c:v>5</c:v>
                </c:pt>
                <c:pt idx="73">
                  <c:v>6</c:v>
                </c:pt>
                <c:pt idx="74">
                  <c:v>7</c:v>
                </c:pt>
                <c:pt idx="79">
                  <c:v>1</c:v>
                </c:pt>
                <c:pt idx="80">
                  <c:v>1</c:v>
                </c:pt>
                <c:pt idx="83">
                  <c:v>1</c:v>
                </c:pt>
                <c:pt idx="104">
                  <c:v>1</c:v>
                </c:pt>
                <c:pt idx="113">
                  <c:v>1</c:v>
                </c:pt>
              </c:numCache>
            </c:numRef>
          </c:xVal>
          <c:yVal>
            <c:numRef>
              <c:f>Cleaned_Dataset!$F$2:$F$116</c:f>
              <c:numCache>
                <c:formatCode>General</c:formatCode>
                <c:ptCount val="115"/>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2.5</c:v>
                </c:pt>
                <c:pt idx="61">
                  <c:v>3</c:v>
                </c:pt>
                <c:pt idx="62">
                  <c:v>2.1</c:v>
                </c:pt>
                <c:pt idx="63">
                  <c:v>2.8</c:v>
                </c:pt>
                <c:pt idx="64">
                  <c:v>2.7</c:v>
                </c:pt>
                <c:pt idx="65">
                  <c:v>2.9</c:v>
                </c:pt>
                <c:pt idx="66">
                  <c:v>2.2000000000000002</c:v>
                </c:pt>
                <c:pt idx="67">
                  <c:v>2.2999999999999998</c:v>
                </c:pt>
                <c:pt idx="68">
                  <c:v>3</c:v>
                </c:pt>
                <c:pt idx="69">
                  <c:v>2.6</c:v>
                </c:pt>
                <c:pt idx="70">
                  <c:v>3</c:v>
                </c:pt>
                <c:pt idx="71">
                  <c:v>2.2999999999999998</c:v>
                </c:pt>
                <c:pt idx="72">
                  <c:v>3</c:v>
                </c:pt>
                <c:pt idx="73">
                  <c:v>2.2000000000000002</c:v>
                </c:pt>
                <c:pt idx="74">
                  <c:v>2.1</c:v>
                </c:pt>
                <c:pt idx="75">
                  <c:v>0</c:v>
                </c:pt>
                <c:pt idx="76">
                  <c:v>0</c:v>
                </c:pt>
                <c:pt idx="77">
                  <c:v>0</c:v>
                </c:pt>
                <c:pt idx="78">
                  <c:v>0</c:v>
                </c:pt>
                <c:pt idx="79">
                  <c:v>3</c:v>
                </c:pt>
                <c:pt idx="80">
                  <c:v>5</c:v>
                </c:pt>
                <c:pt idx="81">
                  <c:v>0</c:v>
                </c:pt>
                <c:pt idx="82">
                  <c:v>0</c:v>
                </c:pt>
                <c:pt idx="83">
                  <c:v>4</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5</c:v>
                </c:pt>
                <c:pt idx="105">
                  <c:v>0</c:v>
                </c:pt>
                <c:pt idx="106">
                  <c:v>0</c:v>
                </c:pt>
                <c:pt idx="107">
                  <c:v>0</c:v>
                </c:pt>
                <c:pt idx="108">
                  <c:v>0</c:v>
                </c:pt>
                <c:pt idx="109">
                  <c:v>0</c:v>
                </c:pt>
                <c:pt idx="110">
                  <c:v>0</c:v>
                </c:pt>
                <c:pt idx="111">
                  <c:v>0</c:v>
                </c:pt>
                <c:pt idx="112">
                  <c:v>0</c:v>
                </c:pt>
                <c:pt idx="113">
                  <c:v>2</c:v>
                </c:pt>
                <c:pt idx="114">
                  <c:v>0</c:v>
                </c:pt>
              </c:numCache>
            </c:numRef>
          </c:yVal>
          <c:smooth val="0"/>
          <c:extLst>
            <c:ext xmlns:c16="http://schemas.microsoft.com/office/drawing/2014/chart" uri="{C3380CC4-5D6E-409C-BE32-E72D297353CC}">
              <c16:uniqueId val="{00000000-909D-402E-A220-6A512828F425}"/>
            </c:ext>
          </c:extLst>
        </c:ser>
        <c:dLbls>
          <c:showLegendKey val="0"/>
          <c:showVal val="0"/>
          <c:showCatName val="0"/>
          <c:showSerName val="0"/>
          <c:showPercent val="0"/>
          <c:showBubbleSize val="0"/>
        </c:dLbls>
        <c:axId val="514352847"/>
        <c:axId val="509505887"/>
      </c:scatterChart>
      <c:valAx>
        <c:axId val="5143528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505887"/>
        <c:crosses val="autoZero"/>
        <c:crossBetween val="midCat"/>
      </c:valAx>
      <c:valAx>
        <c:axId val="50950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3528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i="0">
                <a:effectLst/>
              </a:rPr>
              <a:t>Price vs Rating</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strRef>
              <c:f>Cleaned_Dataset!$F$1</c:f>
              <c:strCache>
                <c:ptCount val="1"/>
                <c:pt idx="0">
                  <c:v>Rating</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5.3938774904191134E-2"/>
                  <c:y val="0.21648313553195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Cleaned_Dataset!$B$2:$B$116</c:f>
              <c:numCache>
                <c:formatCode>0.00</c:formatCode>
                <c:ptCount val="115"/>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1620</c:v>
                </c:pt>
                <c:pt idx="39">
                  <c:v>2750</c:v>
                </c:pt>
                <c:pt idx="40">
                  <c:v>475</c:v>
                </c:pt>
                <c:pt idx="41">
                  <c:v>238</c:v>
                </c:pt>
                <c:pt idx="42">
                  <c:v>610</c:v>
                </c:pt>
                <c:pt idx="43">
                  <c:v>610</c:v>
                </c:pt>
                <c:pt idx="44">
                  <c:v>2132</c:v>
                </c:pt>
                <c:pt idx="45">
                  <c:v>999</c:v>
                </c:pt>
                <c:pt idx="46">
                  <c:v>1190</c:v>
                </c:pt>
                <c:pt idx="47">
                  <c:v>671</c:v>
                </c:pt>
                <c:pt idx="48">
                  <c:v>1200</c:v>
                </c:pt>
                <c:pt idx="49">
                  <c:v>199</c:v>
                </c:pt>
                <c:pt idx="50">
                  <c:v>299</c:v>
                </c:pt>
                <c:pt idx="51">
                  <c:v>1660</c:v>
                </c:pt>
                <c:pt idx="52">
                  <c:v>299</c:v>
                </c:pt>
                <c:pt idx="53">
                  <c:v>1459</c:v>
                </c:pt>
                <c:pt idx="54">
                  <c:v>799</c:v>
                </c:pt>
                <c:pt idx="55">
                  <c:v>499</c:v>
                </c:pt>
                <c:pt idx="56">
                  <c:v>699</c:v>
                </c:pt>
                <c:pt idx="57">
                  <c:v>799</c:v>
                </c:pt>
                <c:pt idx="58">
                  <c:v>2799</c:v>
                </c:pt>
                <c:pt idx="59">
                  <c:v>399</c:v>
                </c:pt>
                <c:pt idx="60">
                  <c:v>2170</c:v>
                </c:pt>
                <c:pt idx="61">
                  <c:v>458</c:v>
                </c:pt>
                <c:pt idx="62">
                  <c:v>2115</c:v>
                </c:pt>
                <c:pt idx="63">
                  <c:v>445</c:v>
                </c:pt>
                <c:pt idx="64">
                  <c:v>325</c:v>
                </c:pt>
                <c:pt idx="65">
                  <c:v>1220</c:v>
                </c:pt>
                <c:pt idx="66">
                  <c:v>990</c:v>
                </c:pt>
                <c:pt idx="67">
                  <c:v>1000</c:v>
                </c:pt>
                <c:pt idx="68">
                  <c:v>3750</c:v>
                </c:pt>
                <c:pt idx="69">
                  <c:v>382</c:v>
                </c:pt>
                <c:pt idx="70">
                  <c:v>2300</c:v>
                </c:pt>
                <c:pt idx="71">
                  <c:v>345</c:v>
                </c:pt>
                <c:pt idx="72">
                  <c:v>509</c:v>
                </c:pt>
                <c:pt idx="73">
                  <c:v>968</c:v>
                </c:pt>
                <c:pt idx="74">
                  <c:v>1570</c:v>
                </c:pt>
                <c:pt idx="75">
                  <c:v>790</c:v>
                </c:pt>
                <c:pt idx="76">
                  <c:v>690</c:v>
                </c:pt>
                <c:pt idx="77">
                  <c:v>1732</c:v>
                </c:pt>
                <c:pt idx="78">
                  <c:v>230</c:v>
                </c:pt>
                <c:pt idx="79">
                  <c:v>1189</c:v>
                </c:pt>
                <c:pt idx="80">
                  <c:v>979</c:v>
                </c:pt>
                <c:pt idx="81">
                  <c:v>1460</c:v>
                </c:pt>
                <c:pt idx="82">
                  <c:v>1666</c:v>
                </c:pt>
                <c:pt idx="83">
                  <c:v>330</c:v>
                </c:pt>
                <c:pt idx="84">
                  <c:v>610</c:v>
                </c:pt>
                <c:pt idx="85">
                  <c:v>176</c:v>
                </c:pt>
                <c:pt idx="86">
                  <c:v>1466</c:v>
                </c:pt>
                <c:pt idx="87">
                  <c:v>274</c:v>
                </c:pt>
                <c:pt idx="88">
                  <c:v>799</c:v>
                </c:pt>
                <c:pt idx="89">
                  <c:v>657</c:v>
                </c:pt>
                <c:pt idx="90">
                  <c:v>1468</c:v>
                </c:pt>
                <c:pt idx="91">
                  <c:v>630</c:v>
                </c:pt>
                <c:pt idx="92">
                  <c:v>850</c:v>
                </c:pt>
                <c:pt idx="93">
                  <c:v>1300</c:v>
                </c:pt>
                <c:pt idx="94">
                  <c:v>105</c:v>
                </c:pt>
                <c:pt idx="95">
                  <c:v>899</c:v>
                </c:pt>
                <c:pt idx="96">
                  <c:v>899</c:v>
                </c:pt>
                <c:pt idx="97">
                  <c:v>1200</c:v>
                </c:pt>
                <c:pt idx="98">
                  <c:v>1526</c:v>
                </c:pt>
                <c:pt idx="99">
                  <c:v>1462</c:v>
                </c:pt>
                <c:pt idx="100">
                  <c:v>248</c:v>
                </c:pt>
                <c:pt idx="101">
                  <c:v>3546</c:v>
                </c:pt>
                <c:pt idx="102">
                  <c:v>525</c:v>
                </c:pt>
                <c:pt idx="103">
                  <c:v>1080</c:v>
                </c:pt>
                <c:pt idx="104">
                  <c:v>3640</c:v>
                </c:pt>
                <c:pt idx="105">
                  <c:v>1420</c:v>
                </c:pt>
                <c:pt idx="106">
                  <c:v>1875</c:v>
                </c:pt>
                <c:pt idx="107">
                  <c:v>198</c:v>
                </c:pt>
                <c:pt idx="108">
                  <c:v>1150</c:v>
                </c:pt>
                <c:pt idx="109">
                  <c:v>1190</c:v>
                </c:pt>
                <c:pt idx="110">
                  <c:v>1658</c:v>
                </c:pt>
                <c:pt idx="111">
                  <c:v>1768</c:v>
                </c:pt>
                <c:pt idx="112">
                  <c:v>199</c:v>
                </c:pt>
                <c:pt idx="113">
                  <c:v>450</c:v>
                </c:pt>
                <c:pt idx="114">
                  <c:v>169</c:v>
                </c:pt>
              </c:numCache>
            </c:numRef>
          </c:xVal>
          <c:yVal>
            <c:numRef>
              <c:f>Cleaned_Dataset!$F$2:$F$116</c:f>
              <c:numCache>
                <c:formatCode>General</c:formatCode>
                <c:ptCount val="115"/>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2.5</c:v>
                </c:pt>
                <c:pt idx="61">
                  <c:v>3</c:v>
                </c:pt>
                <c:pt idx="62">
                  <c:v>2.1</c:v>
                </c:pt>
                <c:pt idx="63">
                  <c:v>2.8</c:v>
                </c:pt>
                <c:pt idx="64">
                  <c:v>2.7</c:v>
                </c:pt>
                <c:pt idx="65">
                  <c:v>2.9</c:v>
                </c:pt>
                <c:pt idx="66">
                  <c:v>2.2000000000000002</c:v>
                </c:pt>
                <c:pt idx="67">
                  <c:v>2.2999999999999998</c:v>
                </c:pt>
                <c:pt idx="68">
                  <c:v>3</c:v>
                </c:pt>
                <c:pt idx="69">
                  <c:v>2.6</c:v>
                </c:pt>
                <c:pt idx="70">
                  <c:v>3</c:v>
                </c:pt>
                <c:pt idx="71">
                  <c:v>2.2999999999999998</c:v>
                </c:pt>
                <c:pt idx="72">
                  <c:v>3</c:v>
                </c:pt>
                <c:pt idx="73">
                  <c:v>2.2000000000000002</c:v>
                </c:pt>
                <c:pt idx="74">
                  <c:v>2.1</c:v>
                </c:pt>
                <c:pt idx="75">
                  <c:v>0</c:v>
                </c:pt>
                <c:pt idx="76">
                  <c:v>0</c:v>
                </c:pt>
                <c:pt idx="77">
                  <c:v>0</c:v>
                </c:pt>
                <c:pt idx="78">
                  <c:v>0</c:v>
                </c:pt>
                <c:pt idx="79">
                  <c:v>3</c:v>
                </c:pt>
                <c:pt idx="80">
                  <c:v>5</c:v>
                </c:pt>
                <c:pt idx="81">
                  <c:v>0</c:v>
                </c:pt>
                <c:pt idx="82">
                  <c:v>0</c:v>
                </c:pt>
                <c:pt idx="83">
                  <c:v>4</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5</c:v>
                </c:pt>
                <c:pt idx="105">
                  <c:v>0</c:v>
                </c:pt>
                <c:pt idx="106">
                  <c:v>0</c:v>
                </c:pt>
                <c:pt idx="107">
                  <c:v>0</c:v>
                </c:pt>
                <c:pt idx="108">
                  <c:v>0</c:v>
                </c:pt>
                <c:pt idx="109">
                  <c:v>0</c:v>
                </c:pt>
                <c:pt idx="110">
                  <c:v>0</c:v>
                </c:pt>
                <c:pt idx="111">
                  <c:v>0</c:v>
                </c:pt>
                <c:pt idx="112">
                  <c:v>0</c:v>
                </c:pt>
                <c:pt idx="113">
                  <c:v>2</c:v>
                </c:pt>
                <c:pt idx="114">
                  <c:v>0</c:v>
                </c:pt>
              </c:numCache>
            </c:numRef>
          </c:yVal>
          <c:smooth val="0"/>
          <c:extLst>
            <c:ext xmlns:c16="http://schemas.microsoft.com/office/drawing/2014/chart" uri="{C3380CC4-5D6E-409C-BE32-E72D297353CC}">
              <c16:uniqueId val="{00000000-4124-48AF-ABDE-997F95616ECC}"/>
            </c:ext>
          </c:extLst>
        </c:ser>
        <c:dLbls>
          <c:showLegendKey val="0"/>
          <c:showVal val="0"/>
          <c:showCatName val="0"/>
          <c:showSerName val="0"/>
          <c:showPercent val="0"/>
          <c:showBubbleSize val="0"/>
        </c:dLbls>
        <c:axId val="514367695"/>
        <c:axId val="509514527"/>
      </c:scatterChart>
      <c:valAx>
        <c:axId val="5143676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514527"/>
        <c:crosses val="autoZero"/>
        <c:crossBetween val="midCat"/>
      </c:valAx>
      <c:valAx>
        <c:axId val="50951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3676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[Excel_jumia_dataset.xlsx]Pivot_Tables!PivotTable4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10 Products by Rating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Pivot_Tables!$I$2</c:f>
              <c:strCache>
                <c:ptCount val="1"/>
                <c:pt idx="0">
                  <c:v>Total</c:v>
                </c:pt>
              </c:strCache>
            </c:strRef>
          </c:tx>
          <c:spPr>
            <a:solidFill>
              <a:schemeClr val="accent1"/>
            </a:solidFill>
            <a:ln>
              <a:noFill/>
            </a:ln>
            <a:effectLst/>
          </c:spPr>
          <c:invertIfNegative val="0"/>
          <c:cat>
            <c:strRef>
              <c:f>Pivot_Tables!$H$3:$H$13</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Pivot_Tables!$I$3:$I$13</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1837-4ACE-90DC-BFCA294D15F5}"/>
            </c:ext>
          </c:extLst>
        </c:ser>
        <c:dLbls>
          <c:showLegendKey val="0"/>
          <c:showVal val="0"/>
          <c:showCatName val="0"/>
          <c:showSerName val="0"/>
          <c:showPercent val="0"/>
          <c:showBubbleSize val="0"/>
        </c:dLbls>
        <c:gapWidth val="182"/>
        <c:axId val="505441167"/>
        <c:axId val="509517887"/>
      </c:barChart>
      <c:catAx>
        <c:axId val="5054411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517887"/>
        <c:crosses val="autoZero"/>
        <c:auto val="1"/>
        <c:lblAlgn val="ctr"/>
        <c:lblOffset val="100"/>
        <c:noMultiLvlLbl val="0"/>
      </c:catAx>
      <c:valAx>
        <c:axId val="509517887"/>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44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[Excel_jumia_dataset.xlsx]Pivot_Tables!PivotTable5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10 Products by Reviews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Pivot_Tables!$I$17</c:f>
              <c:strCache>
                <c:ptCount val="1"/>
                <c:pt idx="0">
                  <c:v>Total</c:v>
                </c:pt>
              </c:strCache>
            </c:strRef>
          </c:tx>
          <c:spPr>
            <a:solidFill>
              <a:schemeClr val="accent1"/>
            </a:solidFill>
            <a:ln>
              <a:noFill/>
            </a:ln>
            <a:effectLst/>
          </c:spPr>
          <c:invertIfNegative val="0"/>
          <c:cat>
            <c:strRef>
              <c:f>Pivot_Tables!$H$18:$H$28</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Pivot_Tables!$I$18:$I$28</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AA88-4CC8-B830-D18B52503BD3}"/>
            </c:ext>
          </c:extLst>
        </c:ser>
        <c:dLbls>
          <c:showLegendKey val="0"/>
          <c:showVal val="0"/>
          <c:showCatName val="0"/>
          <c:showSerName val="0"/>
          <c:showPercent val="0"/>
          <c:showBubbleSize val="0"/>
        </c:dLbls>
        <c:gapWidth val="182"/>
        <c:axId val="505651359"/>
        <c:axId val="486620095"/>
      </c:barChart>
      <c:catAx>
        <c:axId val="5056513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620095"/>
        <c:crosses val="autoZero"/>
        <c:auto val="1"/>
        <c:lblAlgn val="ctr"/>
        <c:lblOffset val="100"/>
        <c:noMultiLvlLbl val="0"/>
      </c:catAx>
      <c:valAx>
        <c:axId val="48662009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65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[Excel_jumia_dataset.xlsx]Pivot_Tables!PivotTable6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Products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Pivot_Tables!$M$2</c:f>
              <c:strCache>
                <c:ptCount val="1"/>
                <c:pt idx="0">
                  <c:v>Total</c:v>
                </c:pt>
              </c:strCache>
            </c:strRef>
          </c:tx>
          <c:spPr>
            <a:solidFill>
              <a:schemeClr val="accent1"/>
            </a:solidFill>
            <a:ln>
              <a:noFill/>
            </a:ln>
            <a:effectLst/>
          </c:spPr>
          <c:invertIfNegative val="0"/>
          <c:cat>
            <c:strRef>
              <c:f>Pivot_Tables!$L$3:$L$13</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Pivot_Tables!$M$3:$M$13</c:f>
              <c:numCache>
                <c:formatCode>0.00%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8C4E-47BF-ABFF-339A95A20F1D}"/>
            </c:ext>
          </c:extLst>
        </c:ser>
        <c:dLbls>
          <c:showLegendKey val="0"/>
          <c:showVal val="0"/>
          <c:showCatName val="0"/>
          <c:showSerName val="0"/>
          <c:showPercent val="0"/>
          <c:showBubbleSize val="0"/>
        </c:dLbls>
        <c:gapWidth val="182"/>
        <c:axId val="586833695"/>
        <c:axId val="294558943"/>
      </c:barChart>
      <c:catAx>
        <c:axId val="5868336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558943"/>
        <c:crosses val="autoZero"/>
        <c:auto val="1"/>
        <c:lblAlgn val="ctr"/>
        <c:lblOffset val="100"/>
        <c:noMultiLvlLbl val="0"/>
      </c:catAx>
      <c:valAx>
        <c:axId val="294558943"/>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83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[Excel_jumia_dataset.xlsx]Pivot_Tables!PivotTable1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Discount Mix</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75-4DB6-90F4-09B3C42850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75-4DB6-90F4-09B3C42850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75-4DB6-90F4-09B3C4285091}"/>
              </c:ext>
            </c:extLst>
          </c:dPt>
          <c:cat>
            <c:strRef>
              <c:f>Pivot_Tables!$A$4:$A$7</c:f>
              <c:strCache>
                <c:ptCount val="3"/>
                <c:pt idx="0">
                  <c:v>High Discount</c:v>
                </c:pt>
                <c:pt idx="1">
                  <c:v>Low Discount</c:v>
                </c:pt>
                <c:pt idx="2">
                  <c:v>Medium Discount</c:v>
                </c:pt>
              </c:strCache>
            </c:strRef>
          </c:cat>
          <c:val>
            <c:numRef>
              <c:f>Pivot_Tables!$B$4:$B$7</c:f>
              <c:numCache>
                <c:formatCode>General</c:formatCode>
                <c:ptCount val="3"/>
                <c:pt idx="0">
                  <c:v>65</c:v>
                </c:pt>
                <c:pt idx="1">
                  <c:v>18</c:v>
                </c:pt>
                <c:pt idx="2">
                  <c:v>32</c:v>
                </c:pt>
              </c:numCache>
            </c:numRef>
          </c:val>
          <c:extLst>
            <c:ext xmlns:c16="http://schemas.microsoft.com/office/drawing/2014/chart" uri="{C3380CC4-5D6E-409C-BE32-E72D297353CC}">
              <c16:uniqueId val="{00000006-EE75-4DB6-90F4-09B3C428509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[Excel_jumia_dataset.xlsx]Pivot_Tables!PivotTable2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Rating Mix</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FA-40EB-95D0-BA51D95D6F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FA-40EB-95D0-BA51D95D6F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FA-40EB-95D0-BA51D95D6F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FA-40EB-95D0-BA51D95D6F3E}"/>
              </c:ext>
            </c:extLst>
          </c:dPt>
          <c:cat>
            <c:strRef>
              <c:f>Pivot_Tables!$A$15:$A$19</c:f>
              <c:strCache>
                <c:ptCount val="4"/>
                <c:pt idx="0">
                  <c:v>Average</c:v>
                </c:pt>
                <c:pt idx="1">
                  <c:v>Excellent</c:v>
                </c:pt>
                <c:pt idx="2">
                  <c:v>Missing</c:v>
                </c:pt>
                <c:pt idx="3">
                  <c:v>Poor</c:v>
                </c:pt>
              </c:strCache>
            </c:strRef>
          </c:cat>
          <c:val>
            <c:numRef>
              <c:f>Pivot_Tables!$B$15:$B$19</c:f>
              <c:numCache>
                <c:formatCode>General</c:formatCode>
                <c:ptCount val="4"/>
                <c:pt idx="0">
                  <c:v>26</c:v>
                </c:pt>
                <c:pt idx="1">
                  <c:v>19</c:v>
                </c:pt>
                <c:pt idx="2">
                  <c:v>58</c:v>
                </c:pt>
                <c:pt idx="3">
                  <c:v>12</c:v>
                </c:pt>
              </c:numCache>
            </c:numRef>
          </c:val>
          <c:extLst>
            <c:ext xmlns:c16="http://schemas.microsoft.com/office/drawing/2014/chart" uri="{C3380CC4-5D6E-409C-BE32-E72D297353CC}">
              <c16:uniqueId val="{00000008-18FA-40EB-95D0-BA51D95D6F3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Average Reviews by Discount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Pivot_Tables!$B$24</c:f>
              <c:strCache>
                <c:ptCount val="1"/>
                <c:pt idx="0">
                  <c:v>Total</c:v>
                </c:pt>
              </c:strCache>
            </c:strRef>
          </c:tx>
          <c:spPr>
            <a:solidFill>
              <a:schemeClr val="accent1"/>
            </a:solidFill>
            <a:ln>
              <a:noFill/>
            </a:ln>
            <a:effectLst/>
          </c:spPr>
          <c:invertIfNegative val="0"/>
          <c:cat>
            <c:strRef>
              <c:f>Pivot_Tables!$A$25:$A$28</c:f>
              <c:strCache>
                <c:ptCount val="3"/>
                <c:pt idx="0">
                  <c:v>High Discount</c:v>
                </c:pt>
                <c:pt idx="1">
                  <c:v>Low Discount</c:v>
                </c:pt>
                <c:pt idx="2">
                  <c:v>Medium Discount</c:v>
                </c:pt>
              </c:strCache>
            </c:strRef>
          </c:cat>
          <c:val>
            <c:numRef>
              <c:f>Pivot_Tables!$B$25:$B$28</c:f>
              <c:numCache>
                <c:formatCode>General</c:formatCode>
                <c:ptCount val="3"/>
                <c:pt idx="0">
                  <c:v>11.133333333333333</c:v>
                </c:pt>
                <c:pt idx="1">
                  <c:v>9.5</c:v>
                </c:pt>
                <c:pt idx="2">
                  <c:v>15.260869565217391</c:v>
                </c:pt>
              </c:numCache>
            </c:numRef>
          </c:val>
          <c:extLst>
            <c:ext xmlns:c16="http://schemas.microsoft.com/office/drawing/2014/chart" uri="{C3380CC4-5D6E-409C-BE32-E72D297353CC}">
              <c16:uniqueId val="{00000000-C846-4845-B00F-305778B853A4}"/>
            </c:ext>
          </c:extLst>
        </c:ser>
        <c:dLbls>
          <c:showLegendKey val="0"/>
          <c:showVal val="0"/>
          <c:showCatName val="0"/>
          <c:showSerName val="0"/>
          <c:showPercent val="0"/>
          <c:showBubbleSize val="0"/>
        </c:dLbls>
        <c:gapWidth val="219"/>
        <c:overlap val="-27"/>
        <c:axId val="590021727"/>
        <c:axId val="486652735"/>
      </c:barChart>
      <c:catAx>
        <c:axId val="59002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652735"/>
        <c:crosses val="autoZero"/>
        <c:auto val="1"/>
        <c:lblAlgn val="ctr"/>
        <c:lblOffset val="100"/>
        <c:noMultiLvlLbl val="0"/>
      </c:catAx>
      <c:valAx>
        <c:axId val="48665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02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[Excel_jumia_dataset.xlsx]Pivot_Tables!PivotTable7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Pricing/Marketing Attention: Discount vs Rating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Pivot_Tables!$M$17:$M$18</c:f>
              <c:strCache>
                <c:ptCount val="1"/>
                <c:pt idx="0">
                  <c:v>Average</c:v>
                </c:pt>
              </c:strCache>
            </c:strRef>
          </c:tx>
          <c:spPr>
            <a:solidFill>
              <a:schemeClr val="accent1"/>
            </a:solidFill>
            <a:ln>
              <a:noFill/>
            </a:ln>
            <a:effectLst/>
          </c:spPr>
          <c:invertIfNegative val="0"/>
          <c:cat>
            <c:strRef>
              <c:f>Pivot_Tables!$L$19:$L$22</c:f>
              <c:strCache>
                <c:ptCount val="3"/>
                <c:pt idx="0">
                  <c:v>High Discount</c:v>
                </c:pt>
                <c:pt idx="1">
                  <c:v>Low Discount</c:v>
                </c:pt>
                <c:pt idx="2">
                  <c:v>Medium Discount</c:v>
                </c:pt>
              </c:strCache>
            </c:strRef>
          </c:cat>
          <c:val>
            <c:numRef>
              <c:f>Pivot_Tables!$M$19:$M$22</c:f>
              <c:numCache>
                <c:formatCode>General</c:formatCode>
                <c:ptCount val="3"/>
                <c:pt idx="0">
                  <c:v>12</c:v>
                </c:pt>
                <c:pt idx="1">
                  <c:v>2</c:v>
                </c:pt>
                <c:pt idx="2">
                  <c:v>12</c:v>
                </c:pt>
              </c:numCache>
            </c:numRef>
          </c:val>
          <c:extLst>
            <c:ext xmlns:c16="http://schemas.microsoft.com/office/drawing/2014/chart" uri="{C3380CC4-5D6E-409C-BE32-E72D297353CC}">
              <c16:uniqueId val="{00000000-5E55-4E0A-8EDB-E9A97C816E2F}"/>
            </c:ext>
          </c:extLst>
        </c:ser>
        <c:ser>
          <c:idx val="1"/>
          <c:order val="1"/>
          <c:tx>
            <c:strRef>
              <c:f>Pivot_Tables!$N$17:$N$18</c:f>
              <c:strCache>
                <c:ptCount val="1"/>
                <c:pt idx="0">
                  <c:v>Excellent</c:v>
                </c:pt>
              </c:strCache>
            </c:strRef>
          </c:tx>
          <c:spPr>
            <a:solidFill>
              <a:schemeClr val="accent2"/>
            </a:solidFill>
            <a:ln>
              <a:noFill/>
            </a:ln>
            <a:effectLst/>
          </c:spPr>
          <c:invertIfNegative val="0"/>
          <c:cat>
            <c:strRef>
              <c:f>Pivot_Tables!$L$19:$L$22</c:f>
              <c:strCache>
                <c:ptCount val="3"/>
                <c:pt idx="0">
                  <c:v>High Discount</c:v>
                </c:pt>
                <c:pt idx="1">
                  <c:v>Low Discount</c:v>
                </c:pt>
                <c:pt idx="2">
                  <c:v>Medium Discount</c:v>
                </c:pt>
              </c:strCache>
            </c:strRef>
          </c:cat>
          <c:val>
            <c:numRef>
              <c:f>Pivot_Tables!$N$19:$N$22</c:f>
              <c:numCache>
                <c:formatCode>General</c:formatCode>
                <c:ptCount val="3"/>
                <c:pt idx="0">
                  <c:v>8</c:v>
                </c:pt>
                <c:pt idx="1">
                  <c:v>1</c:v>
                </c:pt>
                <c:pt idx="2">
                  <c:v>10</c:v>
                </c:pt>
              </c:numCache>
            </c:numRef>
          </c:val>
          <c:extLst>
            <c:ext xmlns:c16="http://schemas.microsoft.com/office/drawing/2014/chart" uri="{C3380CC4-5D6E-409C-BE32-E72D297353CC}">
              <c16:uniqueId val="{00000006-5E55-4E0A-8EDB-E9A97C816E2F}"/>
            </c:ext>
          </c:extLst>
        </c:ser>
        <c:ser>
          <c:idx val="2"/>
          <c:order val="2"/>
          <c:tx>
            <c:strRef>
              <c:f>Pivot_Tables!$O$17:$O$18</c:f>
              <c:strCache>
                <c:ptCount val="1"/>
                <c:pt idx="0">
                  <c:v>Missing</c:v>
                </c:pt>
              </c:strCache>
            </c:strRef>
          </c:tx>
          <c:spPr>
            <a:solidFill>
              <a:schemeClr val="accent3"/>
            </a:solidFill>
            <a:ln>
              <a:noFill/>
            </a:ln>
            <a:effectLst/>
          </c:spPr>
          <c:invertIfNegative val="0"/>
          <c:cat>
            <c:strRef>
              <c:f>Pivot_Tables!$L$19:$L$22</c:f>
              <c:strCache>
                <c:ptCount val="3"/>
                <c:pt idx="0">
                  <c:v>High Discount</c:v>
                </c:pt>
                <c:pt idx="1">
                  <c:v>Low Discount</c:v>
                </c:pt>
                <c:pt idx="2">
                  <c:v>Medium Discount</c:v>
                </c:pt>
              </c:strCache>
            </c:strRef>
          </c:cat>
          <c:val>
            <c:numRef>
              <c:f>Pivot_Tables!$O$19:$O$22</c:f>
              <c:numCache>
                <c:formatCode>General</c:formatCode>
                <c:ptCount val="3"/>
                <c:pt idx="0">
                  <c:v>35</c:v>
                </c:pt>
                <c:pt idx="1">
                  <c:v>14</c:v>
                </c:pt>
                <c:pt idx="2">
                  <c:v>9</c:v>
                </c:pt>
              </c:numCache>
            </c:numRef>
          </c:val>
          <c:extLst>
            <c:ext xmlns:c16="http://schemas.microsoft.com/office/drawing/2014/chart" uri="{C3380CC4-5D6E-409C-BE32-E72D297353CC}">
              <c16:uniqueId val="{00000007-5E55-4E0A-8EDB-E9A97C816E2F}"/>
            </c:ext>
          </c:extLst>
        </c:ser>
        <c:ser>
          <c:idx val="3"/>
          <c:order val="3"/>
          <c:tx>
            <c:strRef>
              <c:f>Pivot_Tables!$P$17:$P$18</c:f>
              <c:strCache>
                <c:ptCount val="1"/>
                <c:pt idx="0">
                  <c:v>Poor</c:v>
                </c:pt>
              </c:strCache>
            </c:strRef>
          </c:tx>
          <c:spPr>
            <a:solidFill>
              <a:schemeClr val="accent4"/>
            </a:solidFill>
            <a:ln>
              <a:noFill/>
            </a:ln>
            <a:effectLst/>
          </c:spPr>
          <c:invertIfNegative val="0"/>
          <c:cat>
            <c:strRef>
              <c:f>Pivot_Tables!$L$19:$L$22</c:f>
              <c:strCache>
                <c:ptCount val="3"/>
                <c:pt idx="0">
                  <c:v>High Discount</c:v>
                </c:pt>
                <c:pt idx="1">
                  <c:v>Low Discount</c:v>
                </c:pt>
                <c:pt idx="2">
                  <c:v>Medium Discount</c:v>
                </c:pt>
              </c:strCache>
            </c:strRef>
          </c:cat>
          <c:val>
            <c:numRef>
              <c:f>Pivot_Tables!$P$19:$P$22</c:f>
              <c:numCache>
                <c:formatCode>General</c:formatCode>
                <c:ptCount val="3"/>
                <c:pt idx="0">
                  <c:v>10</c:v>
                </c:pt>
                <c:pt idx="1">
                  <c:v>1</c:v>
                </c:pt>
                <c:pt idx="2">
                  <c:v>1</c:v>
                </c:pt>
              </c:numCache>
            </c:numRef>
          </c:val>
          <c:extLst>
            <c:ext xmlns:c16="http://schemas.microsoft.com/office/drawing/2014/chart" uri="{C3380CC4-5D6E-409C-BE32-E72D297353CC}">
              <c16:uniqueId val="{00000008-5E55-4E0A-8EDB-E9A97C816E2F}"/>
            </c:ext>
          </c:extLst>
        </c:ser>
        <c:dLbls>
          <c:showLegendKey val="0"/>
          <c:showVal val="0"/>
          <c:showCatName val="0"/>
          <c:showSerName val="0"/>
          <c:showPercent val="0"/>
          <c:showBubbleSize val="0"/>
        </c:dLbls>
        <c:gapWidth val="150"/>
        <c:overlap val="100"/>
        <c:axId val="507791359"/>
        <c:axId val="587603327"/>
      </c:barChart>
      <c:catAx>
        <c:axId val="50779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03327"/>
        <c:crosses val="autoZero"/>
        <c:auto val="1"/>
        <c:lblAlgn val="ctr"/>
        <c:lblOffset val="100"/>
        <c:noMultiLvlLbl val="0"/>
      </c:catAx>
      <c:valAx>
        <c:axId val="587603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79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17669</xdr:colOff>
      <xdr:row>0</xdr:row>
      <xdr:rowOff>166977</xdr:rowOff>
    </xdr:from>
    <xdr:to>
      <xdr:col>17</xdr:col>
      <xdr:colOff>600765</xdr:colOff>
      <xdr:row>3</xdr:row>
      <xdr:rowOff>166978</xdr:rowOff>
    </xdr:to>
    <xdr:sp macro="" textlink="">
      <xdr:nvSpPr>
        <xdr:cNvPr id="2" name="Rectangle 1">
          <a:extLst>
            <a:ext uri="{FF2B5EF4-FFF2-40B4-BE49-F238E27FC236}">
              <a16:creationId xmlns:a16="http://schemas.microsoft.com/office/drawing/2014/main" id="{9FF65276-D4D8-9B65-40C9-C4CE3B6ECBCA}"/>
            </a:ext>
          </a:extLst>
        </xdr:cNvPr>
        <xdr:cNvSpPr/>
      </xdr:nvSpPr>
      <xdr:spPr>
        <a:xfrm>
          <a:off x="3851965" y="166977"/>
          <a:ext cx="7297530" cy="58309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latin typeface="Times New Roman" panose="02020603050405020304" pitchFamily="18" charset="0"/>
              <a:cs typeface="Times New Roman" panose="02020603050405020304" pitchFamily="18" charset="0"/>
            </a:rPr>
            <a:t>Jumia Product Performance Dashboard</a:t>
          </a:r>
        </a:p>
      </xdr:txBody>
    </xdr:sp>
    <xdr:clientData/>
  </xdr:twoCellAnchor>
  <xdr:twoCellAnchor>
    <xdr:from>
      <xdr:col>1</xdr:col>
      <xdr:colOff>39756</xdr:colOff>
      <xdr:row>9</xdr:row>
      <xdr:rowOff>159026</xdr:rowOff>
    </xdr:from>
    <xdr:to>
      <xdr:col>8</xdr:col>
      <xdr:colOff>389614</xdr:colOff>
      <xdr:row>24</xdr:row>
      <xdr:rowOff>47707</xdr:rowOff>
    </xdr:to>
    <xdr:graphicFrame macro="">
      <xdr:nvGraphicFramePr>
        <xdr:cNvPr id="4" name="Chart 3">
          <a:extLst>
            <a:ext uri="{FF2B5EF4-FFF2-40B4-BE49-F238E27FC236}">
              <a16:creationId xmlns:a16="http://schemas.microsoft.com/office/drawing/2014/main" id="{0224D418-9A70-4CE6-8B81-7346DC646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580445</xdr:colOff>
      <xdr:row>9</xdr:row>
      <xdr:rowOff>182879</xdr:rowOff>
    </xdr:from>
    <xdr:to>
      <xdr:col>15</xdr:col>
      <xdr:colOff>357809</xdr:colOff>
      <xdr:row>24</xdr:row>
      <xdr:rowOff>23853</xdr:rowOff>
    </xdr:to>
    <xdr:graphicFrame macro="">
      <xdr:nvGraphicFramePr>
        <xdr:cNvPr id="18" name="Chart 17">
          <a:extLst>
            <a:ext uri="{FF2B5EF4-FFF2-40B4-BE49-F238E27FC236}">
              <a16:creationId xmlns:a16="http://schemas.microsoft.com/office/drawing/2014/main" id="{54D4598E-EFC6-4EB5-8693-86097CD19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604298</xdr:colOff>
      <xdr:row>10</xdr:row>
      <xdr:rowOff>7951</xdr:rowOff>
    </xdr:from>
    <xdr:to>
      <xdr:col>23</xdr:col>
      <xdr:colOff>95416</xdr:colOff>
      <xdr:row>24</xdr:row>
      <xdr:rowOff>111319</xdr:rowOff>
    </xdr:to>
    <xdr:graphicFrame macro="">
      <xdr:nvGraphicFramePr>
        <xdr:cNvPr id="20" name="Chart 19">
          <a:extLst>
            <a:ext uri="{FF2B5EF4-FFF2-40B4-BE49-F238E27FC236}">
              <a16:creationId xmlns:a16="http://schemas.microsoft.com/office/drawing/2014/main" id="{8C6CD863-431A-43CE-8423-EDB92B45E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71562</xdr:colOff>
      <xdr:row>26</xdr:row>
      <xdr:rowOff>39755</xdr:rowOff>
    </xdr:from>
    <xdr:to>
      <xdr:col>8</xdr:col>
      <xdr:colOff>333956</xdr:colOff>
      <xdr:row>40</xdr:row>
      <xdr:rowOff>47707</xdr:rowOff>
    </xdr:to>
    <xdr:graphicFrame macro="">
      <xdr:nvGraphicFramePr>
        <xdr:cNvPr id="22" name="Chart 21">
          <a:extLst>
            <a:ext uri="{FF2B5EF4-FFF2-40B4-BE49-F238E27FC236}">
              <a16:creationId xmlns:a16="http://schemas.microsoft.com/office/drawing/2014/main" id="{14771763-7C6B-4D98-8B65-5E55D2D1B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596348</xdr:colOff>
      <xdr:row>26</xdr:row>
      <xdr:rowOff>47708</xdr:rowOff>
    </xdr:from>
    <xdr:to>
      <xdr:col>15</xdr:col>
      <xdr:colOff>349858</xdr:colOff>
      <xdr:row>40</xdr:row>
      <xdr:rowOff>55659</xdr:rowOff>
    </xdr:to>
    <xdr:graphicFrame macro="">
      <xdr:nvGraphicFramePr>
        <xdr:cNvPr id="23" name="Chart 22">
          <a:extLst>
            <a:ext uri="{FF2B5EF4-FFF2-40B4-BE49-F238E27FC236}">
              <a16:creationId xmlns:a16="http://schemas.microsoft.com/office/drawing/2014/main" id="{78A52491-5928-4282-BA2D-00AD3A8AA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628153</xdr:colOff>
      <xdr:row>26</xdr:row>
      <xdr:rowOff>55659</xdr:rowOff>
    </xdr:from>
    <xdr:to>
      <xdr:col>27</xdr:col>
      <xdr:colOff>79514</xdr:colOff>
      <xdr:row>42</xdr:row>
      <xdr:rowOff>166979</xdr:rowOff>
    </xdr:to>
    <xdr:graphicFrame macro="">
      <xdr:nvGraphicFramePr>
        <xdr:cNvPr id="25" name="Chart 24">
          <a:extLst>
            <a:ext uri="{FF2B5EF4-FFF2-40B4-BE49-F238E27FC236}">
              <a16:creationId xmlns:a16="http://schemas.microsoft.com/office/drawing/2014/main" id="{AF6C0E92-92C1-4C8B-8E2A-531C328A4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23855</xdr:colOff>
      <xdr:row>44</xdr:row>
      <xdr:rowOff>103366</xdr:rowOff>
    </xdr:from>
    <xdr:to>
      <xdr:col>8</xdr:col>
      <xdr:colOff>620203</xdr:colOff>
      <xdr:row>58</xdr:row>
      <xdr:rowOff>174928</xdr:rowOff>
    </xdr:to>
    <xdr:graphicFrame macro="">
      <xdr:nvGraphicFramePr>
        <xdr:cNvPr id="26" name="Chart 25">
          <a:extLst>
            <a:ext uri="{FF2B5EF4-FFF2-40B4-BE49-F238E27FC236}">
              <a16:creationId xmlns:a16="http://schemas.microsoft.com/office/drawing/2014/main" id="{906C5F75-59D1-4DF4-B071-4E5D95417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262392</xdr:colOff>
      <xdr:row>44</xdr:row>
      <xdr:rowOff>111318</xdr:rowOff>
    </xdr:from>
    <xdr:to>
      <xdr:col>16</xdr:col>
      <xdr:colOff>71561</xdr:colOff>
      <xdr:row>58</xdr:row>
      <xdr:rowOff>182880</xdr:rowOff>
    </xdr:to>
    <xdr:graphicFrame macro="">
      <xdr:nvGraphicFramePr>
        <xdr:cNvPr id="28" name="Chart 27">
          <a:extLst>
            <a:ext uri="{FF2B5EF4-FFF2-40B4-BE49-F238E27FC236}">
              <a16:creationId xmlns:a16="http://schemas.microsoft.com/office/drawing/2014/main" id="{D6D3BDBE-B9C4-457E-842C-05F6B1E58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357809</xdr:colOff>
      <xdr:row>44</xdr:row>
      <xdr:rowOff>111318</xdr:rowOff>
    </xdr:from>
    <xdr:to>
      <xdr:col>23</xdr:col>
      <xdr:colOff>477079</xdr:colOff>
      <xdr:row>58</xdr:row>
      <xdr:rowOff>182880</xdr:rowOff>
    </xdr:to>
    <xdr:graphicFrame macro="">
      <xdr:nvGraphicFramePr>
        <xdr:cNvPr id="29" name="Chart 28">
          <a:extLst>
            <a:ext uri="{FF2B5EF4-FFF2-40B4-BE49-F238E27FC236}">
              <a16:creationId xmlns:a16="http://schemas.microsoft.com/office/drawing/2014/main" id="{BEECE0A3-1C15-41DF-A1FA-4A2F2B875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47707</xdr:colOff>
      <xdr:row>59</xdr:row>
      <xdr:rowOff>95416</xdr:rowOff>
    </xdr:from>
    <xdr:to>
      <xdr:col>8</xdr:col>
      <xdr:colOff>604299</xdr:colOff>
      <xdr:row>66</xdr:row>
      <xdr:rowOff>55661</xdr:rowOff>
    </xdr:to>
    <mc:AlternateContent xmlns:mc="http://schemas.openxmlformats.org/markup-compatibility/2006">
      <mc:Choice xmlns:a14="http://schemas.microsoft.com/office/drawing/2010/main" Requires="a14">
        <xdr:graphicFrame macro="">
          <xdr:nvGraphicFramePr>
            <xdr:cNvPr id="33" name="Discount Category">
              <a:extLst>
                <a:ext uri="{FF2B5EF4-FFF2-40B4-BE49-F238E27FC236}">
                  <a16:creationId xmlns:a16="http://schemas.microsoft.com/office/drawing/2014/main" id="{A22CF1DF-FE74-DFDE-998B-A2D70F2DA02A}"/>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542455" y="11571798"/>
              <a:ext cx="4532244" cy="1320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254442</xdr:colOff>
      <xdr:row>59</xdr:row>
      <xdr:rowOff>159025</xdr:rowOff>
    </xdr:from>
    <xdr:to>
      <xdr:col>16</xdr:col>
      <xdr:colOff>55659</xdr:colOff>
      <xdr:row>68</xdr:row>
      <xdr:rowOff>151074</xdr:rowOff>
    </xdr:to>
    <mc:AlternateContent xmlns:mc="http://schemas.openxmlformats.org/markup-compatibility/2006">
      <mc:Choice xmlns:a14="http://schemas.microsoft.com/office/drawing/2010/main" Requires="a14">
        <xdr:graphicFrame macro="">
          <xdr:nvGraphicFramePr>
            <xdr:cNvPr id="34" name="Rating Category">
              <a:extLst>
                <a:ext uri="{FF2B5EF4-FFF2-40B4-BE49-F238E27FC236}">
                  <a16:creationId xmlns:a16="http://schemas.microsoft.com/office/drawing/2014/main" id="{22742159-EF4A-85EC-AB63-D608A8C197EA}"/>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5396285" y="11635407"/>
              <a:ext cx="4572000" cy="1741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291547</xdr:colOff>
      <xdr:row>76</xdr:row>
      <xdr:rowOff>35338</xdr:rowOff>
    </xdr:from>
    <xdr:ext cx="13826436" cy="3808735"/>
    <xdr:sp macro="" textlink="">
      <xdr:nvSpPr>
        <xdr:cNvPr id="36" name="TextBox 35">
          <a:extLst>
            <a:ext uri="{FF2B5EF4-FFF2-40B4-BE49-F238E27FC236}">
              <a16:creationId xmlns:a16="http://schemas.microsoft.com/office/drawing/2014/main" id="{1C281C7C-ADB4-0328-CB75-701FE3907059}"/>
            </a:ext>
          </a:extLst>
        </xdr:cNvPr>
        <xdr:cNvSpPr txBox="1"/>
      </xdr:nvSpPr>
      <xdr:spPr>
        <a:xfrm>
          <a:off x="1351721" y="15169320"/>
          <a:ext cx="13826436" cy="3808735"/>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latin typeface="Times New Roman" panose="02020603050405020304" pitchFamily="18" charset="0"/>
              <a:cs typeface="Times New Roman" panose="02020603050405020304" pitchFamily="18" charset="0"/>
            </a:rPr>
            <a:t>1.</a:t>
          </a:r>
          <a:r>
            <a:rPr lang="en-US" sz="1400" baseline="0">
              <a:latin typeface="Times New Roman" panose="02020603050405020304" pitchFamily="18" charset="0"/>
              <a:cs typeface="Times New Roman" panose="02020603050405020304" pitchFamily="18" charset="0"/>
            </a:rPr>
            <a:t> </a:t>
          </a:r>
          <a:r>
            <a:rPr lang="en-US" sz="1400" b="1">
              <a:latin typeface="Times New Roman" panose="02020603050405020304" pitchFamily="18" charset="0"/>
              <a:cs typeface="Times New Roman" panose="02020603050405020304" pitchFamily="18" charset="0"/>
            </a:rPr>
            <a:t>Discount vs. Engagement (whether larger discounts are associated with more reviews): </a:t>
          </a:r>
          <a:r>
            <a:rPr lang="en-US" sz="1400">
              <a:latin typeface="Times New Roman" panose="02020603050405020304" pitchFamily="18" charset="0"/>
              <a:cs typeface="Times New Roman" panose="02020603050405020304" pitchFamily="18" charset="0"/>
            </a:rPr>
            <a:t>No. Larger discounts do not lead to more reviews. Medium discount products average about 15 reviews, compared to only 11 for high discount and 9 for low discount products, with a weak negative correlation of -0.14. Sellers should experiment with 20 to 40 percent discounts rather than defaulting to the deepest markdown.</a:t>
          </a:r>
        </a:p>
        <a:p>
          <a:endParaRPr lang="en-US" sz="1400">
            <a:latin typeface="Times New Roman" panose="02020603050405020304" pitchFamily="18" charset="0"/>
            <a:cs typeface="Times New Roman" panose="02020603050405020304" pitchFamily="18" charset="0"/>
          </a:endParaRPr>
        </a:p>
        <a:p>
          <a:r>
            <a:rPr lang="en-US" sz="1400" b="1">
              <a:latin typeface="Times New Roman" panose="02020603050405020304" pitchFamily="18" charset="0"/>
              <a:cs typeface="Times New Roman" panose="02020603050405020304" pitchFamily="18" charset="0"/>
            </a:rPr>
            <a:t>2. Rating vs. Engagement</a:t>
          </a:r>
          <a:r>
            <a:rPr lang="en-US" sz="1400" b="1" baseline="0">
              <a:latin typeface="Times New Roman" panose="02020603050405020304" pitchFamily="18" charset="0"/>
              <a:cs typeface="Times New Roman" panose="02020603050405020304" pitchFamily="18" charset="0"/>
            </a:rPr>
            <a:t> </a:t>
          </a:r>
          <a:r>
            <a:rPr lang="en-US" sz="1400" b="1">
              <a:latin typeface="Times New Roman" panose="02020603050405020304" pitchFamily="18" charset="0"/>
              <a:cs typeface="Times New Roman" panose="02020603050405020304" pitchFamily="18" charset="0"/>
            </a:rPr>
            <a:t>(whether highly rated products attract stronger engagement): </a:t>
          </a:r>
          <a:r>
            <a:rPr lang="en-US" sz="1400">
              <a:latin typeface="Times New Roman" panose="02020603050405020304" pitchFamily="18" charset="0"/>
              <a:cs typeface="Times New Roman" panose="02020603050405020304" pitchFamily="18" charset="0"/>
            </a:rPr>
            <a:t>No. Higher ratings do not translate into stronger engagement. The correlation between rating and review count is just 0.06, essentially no relationship, meaning customers leave reviews regardless of quality. Sellers with average-rated but highly reviewed products should focus on improving photos and descriptions rather than assuming rating alone drives traffic.</a:t>
          </a:r>
        </a:p>
        <a:p>
          <a:endParaRPr lang="en-US" sz="1400">
            <a:latin typeface="Times New Roman" panose="02020603050405020304" pitchFamily="18" charset="0"/>
            <a:cs typeface="Times New Roman" panose="02020603050405020304" pitchFamily="18" charset="0"/>
          </a:endParaRPr>
        </a:p>
        <a:p>
          <a:r>
            <a:rPr lang="en-US" sz="1400" b="1">
              <a:latin typeface="Times New Roman" panose="02020603050405020304" pitchFamily="18" charset="0"/>
              <a:cs typeface="Times New Roman" panose="02020603050405020304" pitchFamily="18" charset="0"/>
            </a:rPr>
            <a:t>3. Price vs. Rating (whether price and rating move together): </a:t>
          </a:r>
          <a:r>
            <a:rPr lang="en-US" sz="1400">
              <a:latin typeface="Times New Roman" panose="02020603050405020304" pitchFamily="18" charset="0"/>
              <a:cs typeface="Times New Roman" panose="02020603050405020304" pitchFamily="18" charset="0"/>
            </a:rPr>
            <a:t>No. Price and rating show only a weak positive correlation of 0.11, so higher priced products are not clearly rated better in this data. Sellers should not assume that raising prices signals higher quality. Many products are missing a rating entirely, which keeps this finding directional rather than conclusive.</a:t>
          </a:r>
        </a:p>
        <a:p>
          <a:endParaRPr lang="en-US" sz="1400">
            <a:latin typeface="Times New Roman" panose="02020603050405020304" pitchFamily="18" charset="0"/>
            <a:cs typeface="Times New Roman" panose="02020603050405020304" pitchFamily="18" charset="0"/>
          </a:endParaRPr>
        </a:p>
        <a:p>
          <a:r>
            <a:rPr lang="en-US" sz="1400" b="1">
              <a:latin typeface="Times New Roman" panose="02020603050405020304" pitchFamily="18" charset="0"/>
              <a:cs typeface="Times New Roman" panose="02020603050405020304" pitchFamily="18" charset="0"/>
            </a:rPr>
            <a:t>4. Top Performers (which products perform best based on ratings and reviews): </a:t>
          </a:r>
          <a:r>
            <a:rPr lang="en-US" sz="1400">
              <a:latin typeface="Times New Roman" panose="02020603050405020304" pitchFamily="18" charset="0"/>
              <a:cs typeface="Times New Roman" panose="02020603050405020304" pitchFamily="18" charset="0"/>
            </a:rPr>
            <a:t>Yes, a small group leads. A handful of listings, like the 120W Cordless Vacuum Cleaner with 69 reviews and the 6 In 1 Bottle Can Opener with a 64 percent discount, clearly outperform the rest, and seven products share a perfect five-star rating. Sellers should study what makes these listings stand out and apply the same ideas to weaker performers.</a:t>
          </a:r>
        </a:p>
        <a:p>
          <a:endParaRPr lang="en-US" sz="1400" b="1">
            <a:latin typeface="Times New Roman" panose="02020603050405020304" pitchFamily="18" charset="0"/>
            <a:cs typeface="Times New Roman" panose="02020603050405020304" pitchFamily="18" charset="0"/>
          </a:endParaRPr>
        </a:p>
        <a:p>
          <a:r>
            <a:rPr lang="en-US" sz="1400" b="1">
              <a:latin typeface="Times New Roman" panose="02020603050405020304" pitchFamily="18" charset="0"/>
              <a:cs typeface="Times New Roman" panose="02020603050405020304" pitchFamily="18" charset="0"/>
            </a:rPr>
            <a:t>5. Pricing/Marketing Attention (which products may need a different pricing or marketing strategy): </a:t>
          </a:r>
          <a:r>
            <a:rPr lang="en-US" sz="1400">
              <a:latin typeface="Times New Roman" panose="02020603050405020304" pitchFamily="18" charset="0"/>
              <a:cs typeface="Times New Roman" panose="02020603050405020304" pitchFamily="18" charset="0"/>
            </a:rPr>
            <a:t>Yes, 22 products need it. Twenty-two products combine a high discount with an average or poor rating, meaning the discount isn't fixing an underlying weakness. Sellers should prioritize these 22 listings for pricing review or improved marketing rather than assuming a bigger discount will solve the problem.</a:t>
          </a:r>
        </a:p>
      </xdr:txBody>
    </xdr:sp>
    <xdr:clientData/>
  </xdr:oneCellAnchor>
  <xdr:twoCellAnchor>
    <xdr:from>
      <xdr:col>16</xdr:col>
      <xdr:colOff>379895</xdr:colOff>
      <xdr:row>59</xdr:row>
      <xdr:rowOff>97183</xdr:rowOff>
    </xdr:from>
    <xdr:to>
      <xdr:col>24</xdr:col>
      <xdr:colOff>450574</xdr:colOff>
      <xdr:row>72</xdr:row>
      <xdr:rowOff>344557</xdr:rowOff>
    </xdr:to>
    <xdr:graphicFrame macro="">
      <xdr:nvGraphicFramePr>
        <xdr:cNvPr id="38" name="Chart 37">
          <a:extLst>
            <a:ext uri="{FF2B5EF4-FFF2-40B4-BE49-F238E27FC236}">
              <a16:creationId xmlns:a16="http://schemas.microsoft.com/office/drawing/2014/main" id="{DA17C261-C35C-49F4-8DE6-1ADCCA09E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4.855236921299" createdVersion="8" refreshedVersion="8" minRefreshableVersion="3" recordCount="115" xr:uid="{7CE2FE00-5877-4705-B1A7-7165B61FB27D}">
  <cacheSource type="worksheet">
    <worksheetSource name="tblProducts"/>
  </cacheSource>
  <cacheFields count="12">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Ksh)" numFmtId="2">
      <sharedItems containsSemiMixedTypes="0" containsString="0" containsNumber="1" containsInteger="1" minValue="38" maxValue="3750"/>
    </cacheField>
    <cacheField name="old price (Ksh)" numFmtId="2">
      <sharedItems containsSemiMixedTypes="0" containsString="0" containsNumber="1" containsInteger="1" minValue="80" maxValue="6143"/>
    </cacheField>
    <cacheField name="Discount" numFmtId="10">
      <sharedItems containsSemiMixedTypes="0" containsString="0" containsNumber="1" minValue="0.01" maxValue="0.64"/>
    </cacheField>
    <cacheField name="Review" numFmtId="1">
      <sharedItems containsString="0" containsBlank="1" containsNumber="1" containsInteger="1" minValue="1" maxValue="69"/>
    </cacheField>
    <cacheField name="Rating" numFmtId="0">
      <sharedItems containsMixedTypes="1" containsNumber="1" minValue="2" maxValue="5" count="23">
        <n v="4.5"/>
        <n v="4.0999999999999996"/>
        <n v="4.5999999999999996"/>
        <n v="4.7"/>
        <n v="4.8"/>
        <n v="4"/>
        <n v="3.8"/>
        <n v="4.2"/>
        <n v="5"/>
        <n v="3.3"/>
        <s v=""/>
        <n v="4.4000000000000004"/>
        <n v="4.3"/>
        <n v="2.5"/>
        <n v="3"/>
        <n v="2.1"/>
        <n v="2.8"/>
        <n v="2.7"/>
        <n v="2.9"/>
        <n v="2.2000000000000002"/>
        <n v="2.2999999999999998"/>
        <n v="2.6"/>
        <n v="2"/>
      </sharedItems>
    </cacheField>
    <cacheField name="Rating Category" numFmtId="0">
      <sharedItems count="4">
        <s v="Average"/>
        <s v="Excellent"/>
        <s v="Missing"/>
        <s v="Poor"/>
      </sharedItems>
    </cacheField>
    <cacheField name="Discount Category" numFmtId="0">
      <sharedItems count="3">
        <s v="Medium Discount"/>
        <s v="High Discount"/>
        <s v="Low Discount"/>
      </sharedItems>
    </cacheField>
    <cacheField name="Discount Amount" numFmtId="2">
      <sharedItems containsSemiMixedTypes="0" containsString="0" containsNumber="1" containsInteger="1" minValue="24" maxValue="2585"/>
    </cacheField>
    <cacheField name="Rating Rank Key" numFmtId="0">
      <sharedItems containsMixedTypes="1" containsNumber="1" minValue="2.0000010000000001" maxValue="5.0000030000000004"/>
    </cacheField>
    <cacheField name="Review Rank Key" numFmtId="0">
      <sharedItems containsMixedTypes="1" containsNumber="1" minValue="1.002" maxValue="69.002799999999993"/>
    </cacheField>
    <cacheField name="Discount Rank Key" numFmtId="0">
      <sharedItems containsSemiMixedTypes="0" containsString="0" containsNumber="1" minValue="0.01" maxValue="0.64"/>
    </cacheField>
  </cacheFields>
  <extLst>
    <ext xmlns:x14="http://schemas.microsoft.com/office/spreadsheetml/2009/9/main" uri="{725AE2AE-9491-48be-B2B4-4EB974FC3084}">
      <x14:pivotCacheDefinition pivotCacheId="14221781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x v="0"/>
    <n v="950"/>
    <n v="1525"/>
    <n v="0.38"/>
    <n v="2"/>
    <x v="0"/>
    <x v="0"/>
    <x v="0"/>
    <n v="575"/>
    <n v="4.5000020000000003"/>
    <n v="2.0045000000000002"/>
    <n v="0.38000200000000001"/>
  </r>
  <r>
    <x v="1"/>
    <n v="527"/>
    <n v="999"/>
    <n v="0.47"/>
    <n v="14"/>
    <x v="1"/>
    <x v="0"/>
    <x v="1"/>
    <n v="472"/>
    <n v="4.1000139999999998"/>
    <n v="14.004099999999999"/>
    <n v="0.47001399999999999"/>
  </r>
  <r>
    <x v="2"/>
    <n v="2199"/>
    <n v="2923"/>
    <n v="0.25"/>
    <n v="24"/>
    <x v="2"/>
    <x v="1"/>
    <x v="0"/>
    <n v="724"/>
    <n v="4.6000239999999994"/>
    <n v="24.0046"/>
    <n v="0.25002400000000002"/>
  </r>
  <r>
    <x v="3"/>
    <n v="1580"/>
    <n v="2499"/>
    <n v="0.37"/>
    <n v="7"/>
    <x v="3"/>
    <x v="1"/>
    <x v="0"/>
    <n v="919"/>
    <n v="4.7000070000000003"/>
    <n v="7.0046999999999997"/>
    <n v="0.37000699999999997"/>
  </r>
  <r>
    <x v="4"/>
    <n v="1740"/>
    <n v="2356"/>
    <n v="0.26"/>
    <n v="5"/>
    <x v="4"/>
    <x v="1"/>
    <x v="0"/>
    <n v="616"/>
    <n v="4.8000049999999996"/>
    <n v="5.0048000000000004"/>
    <n v="0.26000499999999999"/>
  </r>
  <r>
    <x v="5"/>
    <n v="2999"/>
    <n v="3290"/>
    <n v="0.09"/>
    <n v="15"/>
    <x v="5"/>
    <x v="0"/>
    <x v="2"/>
    <n v="291"/>
    <n v="4.0000150000000003"/>
    <n v="15.004"/>
    <n v="9.0014999999999998E-2"/>
  </r>
  <r>
    <x v="6"/>
    <n v="2319"/>
    <n v="3032"/>
    <n v="0.24"/>
    <n v="55"/>
    <x v="2"/>
    <x v="1"/>
    <x v="0"/>
    <n v="713"/>
    <n v="4.6000549999999993"/>
    <n v="55.004600000000003"/>
    <n v="0.24005499999999999"/>
  </r>
  <r>
    <x v="7"/>
    <n v="988"/>
    <n v="1580"/>
    <n v="0.37"/>
    <n v="2"/>
    <x v="5"/>
    <x v="0"/>
    <x v="0"/>
    <n v="592"/>
    <n v="4.0000020000000003"/>
    <n v="2.004"/>
    <n v="0.370002"/>
  </r>
  <r>
    <x v="8"/>
    <n v="1274"/>
    <n v="2800"/>
    <n v="0.55000000000000004"/>
    <n v="5"/>
    <x v="4"/>
    <x v="1"/>
    <x v="1"/>
    <n v="1526"/>
    <n v="4.8000049999999996"/>
    <n v="5.0048000000000004"/>
    <n v="0.55000500000000008"/>
  </r>
  <r>
    <x v="9"/>
    <n v="1600"/>
    <n v="2929"/>
    <n v="0.45"/>
    <n v="5"/>
    <x v="6"/>
    <x v="0"/>
    <x v="1"/>
    <n v="1329"/>
    <n v="3.8000049999999996"/>
    <n v="5.0038"/>
    <n v="0.45000499999999999"/>
  </r>
  <r>
    <x v="10"/>
    <n v="799"/>
    <n v="999"/>
    <n v="0.2"/>
    <n v="12"/>
    <x v="1"/>
    <x v="0"/>
    <x v="0"/>
    <n v="200"/>
    <n v="4.1000119999999995"/>
    <n v="12.004099999999999"/>
    <n v="0.20001200000000002"/>
  </r>
  <r>
    <x v="11"/>
    <n v="990"/>
    <n v="1500"/>
    <n v="0.34"/>
    <n v="39"/>
    <x v="3"/>
    <x v="1"/>
    <x v="0"/>
    <n v="510"/>
    <n v="4.7000390000000003"/>
    <n v="39.0047"/>
    <n v="0.34003900000000004"/>
  </r>
  <r>
    <x v="12"/>
    <n v="552"/>
    <n v="1035"/>
    <n v="0.47"/>
    <n v="12"/>
    <x v="4"/>
    <x v="1"/>
    <x v="1"/>
    <n v="483"/>
    <n v="4.8000119999999997"/>
    <n v="12.004799999999999"/>
    <n v="0.47001199999999999"/>
  </r>
  <r>
    <x v="13"/>
    <n v="501"/>
    <n v="860"/>
    <n v="0.42"/>
    <n v="6"/>
    <x v="0"/>
    <x v="0"/>
    <x v="1"/>
    <n v="359"/>
    <n v="4.500006"/>
    <n v="6.0045000000000002"/>
    <n v="0.42000599999999999"/>
  </r>
  <r>
    <x v="14"/>
    <n v="1680"/>
    <n v="2499"/>
    <n v="0.33"/>
    <n v="9"/>
    <x v="7"/>
    <x v="0"/>
    <x v="0"/>
    <n v="819"/>
    <n v="4.2000090000000005"/>
    <n v="9.0042000000000009"/>
    <n v="0.330009"/>
  </r>
  <r>
    <x v="15"/>
    <n v="332"/>
    <n v="684"/>
    <n v="0.51"/>
    <n v="2"/>
    <x v="8"/>
    <x v="1"/>
    <x v="1"/>
    <n v="352"/>
    <n v="5.0000020000000003"/>
    <n v="2.0049999999999999"/>
    <n v="0.51000199999999996"/>
  </r>
  <r>
    <x v="16"/>
    <n v="195"/>
    <n v="360"/>
    <n v="0.46"/>
    <n v="2"/>
    <x v="8"/>
    <x v="1"/>
    <x v="1"/>
    <n v="165"/>
    <n v="5.0000020000000003"/>
    <n v="2.0049999999999999"/>
    <n v="0.46000200000000002"/>
  </r>
  <r>
    <x v="17"/>
    <n v="2025"/>
    <n v="3971"/>
    <n v="0.49"/>
    <n v="3"/>
    <x v="8"/>
    <x v="1"/>
    <x v="1"/>
    <n v="1946"/>
    <n v="5.0000030000000004"/>
    <n v="3.0049999999999999"/>
    <n v="0.49000299999999997"/>
  </r>
  <r>
    <x v="18"/>
    <n v="2999"/>
    <n v="3699"/>
    <n v="0.19"/>
    <n v="5"/>
    <x v="2"/>
    <x v="1"/>
    <x v="2"/>
    <n v="700"/>
    <n v="4.6000049999999995"/>
    <n v="5.0045999999999999"/>
    <n v="0.19000500000000001"/>
  </r>
  <r>
    <x v="19"/>
    <n v="998"/>
    <n v="1966"/>
    <n v="0.49"/>
    <n v="44"/>
    <x v="2"/>
    <x v="1"/>
    <x v="1"/>
    <n v="968"/>
    <n v="4.6000439999999996"/>
    <n v="44.004600000000003"/>
    <n v="0.49004399999999998"/>
  </r>
  <r>
    <x v="20"/>
    <n v="38"/>
    <n v="80"/>
    <n v="0.53"/>
    <n v="13"/>
    <x v="9"/>
    <x v="0"/>
    <x v="1"/>
    <n v="42"/>
    <n v="3.3000129999999999"/>
    <n v="13.003299999999999"/>
    <n v="0.53001300000000007"/>
  </r>
  <r>
    <x v="21"/>
    <n v="1860"/>
    <n v="3220"/>
    <n v="0.42"/>
    <m/>
    <x v="10"/>
    <x v="2"/>
    <x v="1"/>
    <n v="1360"/>
    <s v=""/>
    <s v=""/>
    <n v="0.42"/>
  </r>
  <r>
    <x v="22"/>
    <n v="880"/>
    <n v="1350"/>
    <n v="0.35"/>
    <n v="6"/>
    <x v="5"/>
    <x v="0"/>
    <x v="0"/>
    <n v="470"/>
    <n v="4.000006"/>
    <n v="6.0039999999999996"/>
    <n v="0.35000599999999998"/>
  </r>
  <r>
    <x v="23"/>
    <n v="1650"/>
    <n v="2150"/>
    <n v="0.23"/>
    <n v="14"/>
    <x v="11"/>
    <x v="0"/>
    <x v="0"/>
    <n v="500"/>
    <n v="4.4000140000000005"/>
    <n v="14.0044"/>
    <n v="0.230014"/>
  </r>
  <r>
    <x v="24"/>
    <n v="2048"/>
    <n v="4500"/>
    <n v="0.54"/>
    <n v="7"/>
    <x v="12"/>
    <x v="0"/>
    <x v="1"/>
    <n v="2452"/>
    <n v="4.3000069999999999"/>
    <n v="7.0042999999999997"/>
    <n v="0.54000700000000001"/>
  </r>
  <r>
    <x v="25"/>
    <n v="420"/>
    <n v="647"/>
    <n v="0.35"/>
    <n v="49"/>
    <x v="2"/>
    <x v="1"/>
    <x v="0"/>
    <n v="227"/>
    <n v="4.6000489999999994"/>
    <n v="49.004600000000003"/>
    <n v="0.350049"/>
  </r>
  <r>
    <x v="26"/>
    <n v="2880"/>
    <n v="3520"/>
    <n v="0.18"/>
    <n v="12"/>
    <x v="6"/>
    <x v="0"/>
    <x v="2"/>
    <n v="640"/>
    <n v="3.8000119999999997"/>
    <n v="12.0038"/>
    <n v="0.18001200000000001"/>
  </r>
  <r>
    <x v="27"/>
    <n v="1350"/>
    <n v="1990"/>
    <n v="0.32"/>
    <n v="13"/>
    <x v="6"/>
    <x v="0"/>
    <x v="0"/>
    <n v="640"/>
    <n v="3.8000129999999999"/>
    <n v="13.0038"/>
    <n v="0.32001299999999999"/>
  </r>
  <r>
    <x v="28"/>
    <n v="1758"/>
    <n v="2499"/>
    <n v="0.3"/>
    <n v="20"/>
    <x v="1"/>
    <x v="0"/>
    <x v="0"/>
    <n v="741"/>
    <n v="4.1000199999999998"/>
    <n v="20.004100000000001"/>
    <n v="0.30002000000000001"/>
  </r>
  <r>
    <x v="29"/>
    <n v="2200"/>
    <n v="4080"/>
    <n v="0.46"/>
    <m/>
    <x v="10"/>
    <x v="2"/>
    <x v="1"/>
    <n v="1880"/>
    <s v=""/>
    <s v=""/>
    <n v="0.46"/>
  </r>
  <r>
    <x v="30"/>
    <n v="185"/>
    <n v="382"/>
    <n v="0.52"/>
    <n v="9"/>
    <x v="12"/>
    <x v="0"/>
    <x v="1"/>
    <n v="197"/>
    <n v="4.3000090000000002"/>
    <n v="9.0043000000000006"/>
    <n v="0.52000900000000005"/>
  </r>
  <r>
    <x v="31"/>
    <n v="980"/>
    <n v="1490"/>
    <n v="0.34"/>
    <n v="12"/>
    <x v="3"/>
    <x v="1"/>
    <x v="0"/>
    <n v="510"/>
    <n v="4.7000120000000001"/>
    <n v="12.0047"/>
    <n v="0.34001200000000004"/>
  </r>
  <r>
    <x v="32"/>
    <n v="1820"/>
    <n v="3490"/>
    <n v="0.48"/>
    <n v="9"/>
    <x v="12"/>
    <x v="0"/>
    <x v="1"/>
    <n v="1670"/>
    <n v="4.3000090000000002"/>
    <n v="9.0043000000000006"/>
    <n v="0.48000899999999996"/>
  </r>
  <r>
    <x v="33"/>
    <n v="1940"/>
    <n v="2650"/>
    <n v="0.27"/>
    <n v="20"/>
    <x v="3"/>
    <x v="1"/>
    <x v="0"/>
    <n v="710"/>
    <n v="4.7000200000000003"/>
    <n v="20.0047"/>
    <n v="0.27002000000000004"/>
  </r>
  <r>
    <x v="34"/>
    <n v="1980"/>
    <n v="2699"/>
    <n v="0.27"/>
    <n v="32"/>
    <x v="0"/>
    <x v="0"/>
    <x v="0"/>
    <n v="719"/>
    <n v="4.500032"/>
    <n v="32.0045"/>
    <n v="0.27003199999999999"/>
  </r>
  <r>
    <x v="35"/>
    <n v="1620"/>
    <n v="2690"/>
    <n v="0.4"/>
    <n v="1"/>
    <x v="8"/>
    <x v="1"/>
    <x v="0"/>
    <n v="1070"/>
    <n v="5.0000010000000001"/>
    <n v="1.0049999999999999"/>
    <n v="0.400001"/>
  </r>
  <r>
    <x v="36"/>
    <n v="171"/>
    <n v="360"/>
    <n v="0.53"/>
    <n v="2"/>
    <x v="8"/>
    <x v="1"/>
    <x v="1"/>
    <n v="189"/>
    <n v="5.0000020000000003"/>
    <n v="2.0049999999999999"/>
    <n v="0.53000199999999997"/>
  </r>
  <r>
    <x v="37"/>
    <n v="389"/>
    <n v="656"/>
    <n v="0.41"/>
    <n v="36"/>
    <x v="12"/>
    <x v="0"/>
    <x v="1"/>
    <n v="267"/>
    <n v="4.3000359999999995"/>
    <n v="36.004300000000001"/>
    <n v="0.41003599999999996"/>
  </r>
  <r>
    <x v="38"/>
    <n v="1620"/>
    <n v="2200"/>
    <n v="0.38"/>
    <n v="2"/>
    <x v="0"/>
    <x v="0"/>
    <x v="0"/>
    <n v="580"/>
    <n v="4.5000020000000003"/>
    <n v="2.0045000000000002"/>
    <n v="0.38000200000000001"/>
  </r>
  <r>
    <x v="39"/>
    <n v="2750"/>
    <n v="4471"/>
    <n v="0.38"/>
    <m/>
    <x v="10"/>
    <x v="2"/>
    <x v="0"/>
    <n v="1721"/>
    <s v=""/>
    <s v=""/>
    <n v="0.38"/>
  </r>
  <r>
    <x v="40"/>
    <n v="475"/>
    <n v="931"/>
    <n v="0.49"/>
    <m/>
    <x v="10"/>
    <x v="2"/>
    <x v="1"/>
    <n v="456"/>
    <s v=""/>
    <s v=""/>
    <n v="0.49"/>
  </r>
  <r>
    <x v="41"/>
    <n v="238"/>
    <n v="476"/>
    <n v="0.5"/>
    <m/>
    <x v="10"/>
    <x v="2"/>
    <x v="1"/>
    <n v="238"/>
    <s v=""/>
    <s v=""/>
    <n v="0.5"/>
  </r>
  <r>
    <x v="42"/>
    <n v="610"/>
    <n v="1060"/>
    <n v="0.42"/>
    <m/>
    <x v="10"/>
    <x v="2"/>
    <x v="1"/>
    <n v="450"/>
    <s v=""/>
    <s v=""/>
    <n v="0.42"/>
  </r>
  <r>
    <x v="42"/>
    <n v="610"/>
    <n v="1060"/>
    <n v="0.42"/>
    <m/>
    <x v="10"/>
    <x v="2"/>
    <x v="1"/>
    <n v="450"/>
    <s v=""/>
    <s v=""/>
    <n v="0.42"/>
  </r>
  <r>
    <x v="43"/>
    <n v="2132"/>
    <n v="2169"/>
    <n v="0.02"/>
    <m/>
    <x v="10"/>
    <x v="2"/>
    <x v="2"/>
    <n v="37"/>
    <s v=""/>
    <s v=""/>
    <n v="0.02"/>
  </r>
  <r>
    <x v="44"/>
    <n v="999"/>
    <n v="2000"/>
    <n v="0.5"/>
    <m/>
    <x v="10"/>
    <x v="2"/>
    <x v="1"/>
    <n v="1001"/>
    <s v=""/>
    <s v=""/>
    <n v="0.5"/>
  </r>
  <r>
    <x v="45"/>
    <n v="1190"/>
    <n v="1785"/>
    <n v="0.33"/>
    <m/>
    <x v="10"/>
    <x v="2"/>
    <x v="0"/>
    <n v="595"/>
    <s v=""/>
    <s v=""/>
    <n v="0.33"/>
  </r>
  <r>
    <x v="46"/>
    <n v="671"/>
    <n v="1316"/>
    <n v="0.49"/>
    <m/>
    <x v="10"/>
    <x v="2"/>
    <x v="1"/>
    <n v="645"/>
    <s v=""/>
    <s v=""/>
    <n v="0.49"/>
  </r>
  <r>
    <x v="47"/>
    <n v="1200"/>
    <n v="1950"/>
    <n v="0.38"/>
    <m/>
    <x v="10"/>
    <x v="2"/>
    <x v="0"/>
    <n v="750"/>
    <s v=""/>
    <s v=""/>
    <n v="0.38"/>
  </r>
  <r>
    <x v="48"/>
    <n v="199"/>
    <n v="504"/>
    <n v="0.61"/>
    <m/>
    <x v="10"/>
    <x v="2"/>
    <x v="1"/>
    <n v="305"/>
    <s v=""/>
    <s v=""/>
    <n v="0.61"/>
  </r>
  <r>
    <x v="49"/>
    <n v="299"/>
    <n v="600"/>
    <n v="0.5"/>
    <m/>
    <x v="10"/>
    <x v="2"/>
    <x v="1"/>
    <n v="301"/>
    <s v=""/>
    <s v=""/>
    <n v="0.5"/>
  </r>
  <r>
    <x v="50"/>
    <n v="1660"/>
    <n v="1699"/>
    <n v="0.02"/>
    <m/>
    <x v="10"/>
    <x v="2"/>
    <x v="2"/>
    <n v="39"/>
    <s v=""/>
    <s v=""/>
    <n v="0.02"/>
  </r>
  <r>
    <x v="51"/>
    <n v="299"/>
    <n v="384"/>
    <n v="0.22"/>
    <m/>
    <x v="10"/>
    <x v="2"/>
    <x v="0"/>
    <n v="85"/>
    <s v=""/>
    <s v=""/>
    <n v="0.22"/>
  </r>
  <r>
    <x v="52"/>
    <n v="1459"/>
    <n v="1499"/>
    <n v="0.03"/>
    <m/>
    <x v="10"/>
    <x v="2"/>
    <x v="2"/>
    <n v="40"/>
    <s v=""/>
    <s v=""/>
    <n v="0.03"/>
  </r>
  <r>
    <x v="53"/>
    <n v="799"/>
    <n v="1343"/>
    <n v="0.41"/>
    <m/>
    <x v="10"/>
    <x v="2"/>
    <x v="1"/>
    <n v="544"/>
    <s v=""/>
    <s v=""/>
    <n v="0.41"/>
  </r>
  <r>
    <x v="54"/>
    <n v="499"/>
    <n v="900"/>
    <n v="0.45"/>
    <m/>
    <x v="10"/>
    <x v="2"/>
    <x v="1"/>
    <n v="401"/>
    <s v=""/>
    <s v=""/>
    <n v="0.45"/>
  </r>
  <r>
    <x v="55"/>
    <n v="699"/>
    <n v="1343"/>
    <n v="0.48"/>
    <m/>
    <x v="10"/>
    <x v="2"/>
    <x v="1"/>
    <n v="644"/>
    <s v=""/>
    <s v=""/>
    <n v="0.48"/>
  </r>
  <r>
    <x v="56"/>
    <n v="799"/>
    <n v="1567"/>
    <n v="0.49"/>
    <m/>
    <x v="10"/>
    <x v="2"/>
    <x v="1"/>
    <n v="768"/>
    <s v=""/>
    <s v=""/>
    <n v="0.49"/>
  </r>
  <r>
    <x v="57"/>
    <n v="2799"/>
    <n v="3810"/>
    <n v="0.27"/>
    <m/>
    <x v="10"/>
    <x v="2"/>
    <x v="0"/>
    <n v="1011"/>
    <s v=""/>
    <s v=""/>
    <n v="0.27"/>
  </r>
  <r>
    <x v="54"/>
    <n v="399"/>
    <n v="896"/>
    <n v="0.55000000000000004"/>
    <m/>
    <x v="10"/>
    <x v="2"/>
    <x v="1"/>
    <n v="497"/>
    <s v=""/>
    <s v=""/>
    <n v="0.55000000000000004"/>
  </r>
  <r>
    <x v="58"/>
    <n v="2170"/>
    <n v="2500"/>
    <n v="0.13"/>
    <n v="6"/>
    <x v="13"/>
    <x v="3"/>
    <x v="2"/>
    <n v="330"/>
    <n v="2.500006"/>
    <n v="6.0025000000000004"/>
    <n v="0.13000600000000001"/>
  </r>
  <r>
    <x v="59"/>
    <n v="458"/>
    <n v="986"/>
    <n v="0.54"/>
    <n v="10"/>
    <x v="14"/>
    <x v="0"/>
    <x v="1"/>
    <n v="528"/>
    <n v="3.0000100000000001"/>
    <n v="10.003"/>
    <n v="0.54000999999999999"/>
  </r>
  <r>
    <x v="60"/>
    <n v="2115"/>
    <n v="4700"/>
    <n v="0.55000000000000004"/>
    <n v="13"/>
    <x v="15"/>
    <x v="3"/>
    <x v="1"/>
    <n v="2585"/>
    <n v="2.1000130000000001"/>
    <n v="13.0021"/>
    <n v="0.55001300000000009"/>
  </r>
  <r>
    <x v="61"/>
    <n v="445"/>
    <n v="873"/>
    <n v="0.49"/>
    <n v="69"/>
    <x v="16"/>
    <x v="3"/>
    <x v="1"/>
    <n v="428"/>
    <n v="2.8000689999999997"/>
    <n v="69.002799999999993"/>
    <n v="0.49006899999999998"/>
  </r>
  <r>
    <x v="62"/>
    <n v="325"/>
    <n v="680"/>
    <n v="0.52"/>
    <n v="15"/>
    <x v="17"/>
    <x v="3"/>
    <x v="1"/>
    <n v="355"/>
    <n v="2.7000150000000001"/>
    <n v="15.002700000000001"/>
    <n v="0.52001500000000001"/>
  </r>
  <r>
    <x v="63"/>
    <n v="1220"/>
    <n v="1555"/>
    <n v="0.22"/>
    <n v="16"/>
    <x v="18"/>
    <x v="3"/>
    <x v="0"/>
    <n v="335"/>
    <n v="2.9000159999999999"/>
    <n v="16.0029"/>
    <n v="0.22001599999999999"/>
  </r>
  <r>
    <x v="64"/>
    <n v="990"/>
    <n v="1814"/>
    <n v="0.45"/>
    <n v="6"/>
    <x v="19"/>
    <x v="3"/>
    <x v="1"/>
    <n v="824"/>
    <n v="2.2000060000000001"/>
    <n v="6.0022000000000002"/>
    <n v="0.45000600000000002"/>
  </r>
  <r>
    <x v="65"/>
    <n v="1000"/>
    <n v="2000"/>
    <n v="0.5"/>
    <n v="7"/>
    <x v="20"/>
    <x v="3"/>
    <x v="1"/>
    <n v="1000"/>
    <n v="2.3000069999999999"/>
    <n v="7.0023"/>
    <n v="0.50000699999999998"/>
  </r>
  <r>
    <x v="66"/>
    <n v="3750"/>
    <n v="6143"/>
    <n v="0.39"/>
    <n v="5"/>
    <x v="14"/>
    <x v="0"/>
    <x v="0"/>
    <n v="2393"/>
    <n v="3.0000049999999998"/>
    <n v="5.0030000000000001"/>
    <n v="0.39000499999999999"/>
  </r>
  <r>
    <x v="67"/>
    <n v="382"/>
    <n v="700"/>
    <n v="0.45"/>
    <n v="17"/>
    <x v="21"/>
    <x v="3"/>
    <x v="1"/>
    <n v="318"/>
    <n v="2.6000170000000002"/>
    <n v="17.002600000000001"/>
    <n v="0.450017"/>
  </r>
  <r>
    <x v="68"/>
    <n v="2300"/>
    <n v="3240"/>
    <n v="0.28999999999999998"/>
    <n v="5"/>
    <x v="14"/>
    <x v="0"/>
    <x v="0"/>
    <n v="940"/>
    <n v="3.0000049999999998"/>
    <n v="5.0030000000000001"/>
    <n v="0.29000499999999996"/>
  </r>
  <r>
    <x v="69"/>
    <n v="345"/>
    <n v="602"/>
    <n v="0.43"/>
    <n v="6"/>
    <x v="20"/>
    <x v="3"/>
    <x v="1"/>
    <n v="257"/>
    <n v="2.3000059999999998"/>
    <n v="6.0023"/>
    <n v="0.430006"/>
  </r>
  <r>
    <x v="70"/>
    <n v="509"/>
    <n v="899"/>
    <n v="0.43"/>
    <n v="5"/>
    <x v="14"/>
    <x v="0"/>
    <x v="1"/>
    <n v="390"/>
    <n v="3.0000049999999998"/>
    <n v="5.0030000000000001"/>
    <n v="0.43000499999999997"/>
  </r>
  <r>
    <x v="71"/>
    <n v="968"/>
    <n v="1814"/>
    <n v="0.47"/>
    <n v="6"/>
    <x v="19"/>
    <x v="3"/>
    <x v="1"/>
    <n v="846"/>
    <n v="2.2000060000000001"/>
    <n v="6.0022000000000002"/>
    <n v="0.47000599999999998"/>
  </r>
  <r>
    <x v="72"/>
    <n v="1570"/>
    <n v="2988"/>
    <n v="0.47"/>
    <n v="7"/>
    <x v="15"/>
    <x v="3"/>
    <x v="1"/>
    <n v="1418"/>
    <n v="2.1000070000000002"/>
    <n v="7.0021000000000004"/>
    <n v="0.47000699999999995"/>
  </r>
  <r>
    <x v="73"/>
    <n v="790"/>
    <n v="1485"/>
    <n v="0.47"/>
    <m/>
    <x v="10"/>
    <x v="2"/>
    <x v="1"/>
    <n v="695"/>
    <s v=""/>
    <s v=""/>
    <n v="0.47"/>
  </r>
  <r>
    <x v="74"/>
    <n v="690"/>
    <n v="1200"/>
    <n v="0.43"/>
    <m/>
    <x v="10"/>
    <x v="2"/>
    <x v="1"/>
    <n v="510"/>
    <s v=""/>
    <s v=""/>
    <n v="0.43"/>
  </r>
  <r>
    <x v="75"/>
    <n v="1732"/>
    <n v="1799"/>
    <n v="0.04"/>
    <m/>
    <x v="10"/>
    <x v="2"/>
    <x v="2"/>
    <n v="67"/>
    <s v=""/>
    <s v=""/>
    <n v="0.04"/>
  </r>
  <r>
    <x v="76"/>
    <n v="230"/>
    <n v="450"/>
    <n v="0.49"/>
    <m/>
    <x v="10"/>
    <x v="2"/>
    <x v="1"/>
    <n v="220"/>
    <s v=""/>
    <s v=""/>
    <n v="0.49"/>
  </r>
  <r>
    <x v="77"/>
    <n v="1189"/>
    <n v="2199"/>
    <n v="0.46"/>
    <n v="1"/>
    <x v="14"/>
    <x v="0"/>
    <x v="1"/>
    <n v="1010"/>
    <n v="3.0000010000000001"/>
    <n v="1.0029999999999999"/>
    <n v="0.46000099999999999"/>
  </r>
  <r>
    <x v="78"/>
    <n v="979"/>
    <n v="1920"/>
    <n v="0.49"/>
    <n v="1"/>
    <x v="8"/>
    <x v="1"/>
    <x v="1"/>
    <n v="941"/>
    <n v="5.0000010000000001"/>
    <n v="1.0049999999999999"/>
    <n v="0.49000099999999996"/>
  </r>
  <r>
    <x v="79"/>
    <n v="1460"/>
    <n v="2290"/>
    <n v="0.36"/>
    <m/>
    <x v="10"/>
    <x v="2"/>
    <x v="0"/>
    <n v="830"/>
    <s v=""/>
    <s v=""/>
    <n v="0.36"/>
  </r>
  <r>
    <x v="80"/>
    <n v="1666"/>
    <n v="1699"/>
    <n v="0.02"/>
    <m/>
    <x v="10"/>
    <x v="2"/>
    <x v="2"/>
    <n v="33"/>
    <s v=""/>
    <s v=""/>
    <n v="0.02"/>
  </r>
  <r>
    <x v="81"/>
    <n v="330"/>
    <n v="647"/>
    <n v="0.49"/>
    <n v="1"/>
    <x v="5"/>
    <x v="0"/>
    <x v="1"/>
    <n v="317"/>
    <n v="4.0000010000000001"/>
    <n v="1.004"/>
    <n v="0.49000099999999996"/>
  </r>
  <r>
    <x v="42"/>
    <n v="610"/>
    <n v="1060"/>
    <n v="0.42"/>
    <m/>
    <x v="10"/>
    <x v="2"/>
    <x v="1"/>
    <n v="450"/>
    <s v=""/>
    <s v=""/>
    <n v="0.42"/>
  </r>
  <r>
    <x v="48"/>
    <n v="176"/>
    <n v="345"/>
    <n v="0.49"/>
    <m/>
    <x v="10"/>
    <x v="2"/>
    <x v="1"/>
    <n v="169"/>
    <s v=""/>
    <s v=""/>
    <n v="0.49"/>
  </r>
  <r>
    <x v="82"/>
    <n v="1466"/>
    <n v="1699"/>
    <n v="0.14000000000000001"/>
    <m/>
    <x v="10"/>
    <x v="2"/>
    <x v="2"/>
    <n v="233"/>
    <s v=""/>
    <s v=""/>
    <n v="0.14000000000000001"/>
  </r>
  <r>
    <x v="83"/>
    <n v="274"/>
    <n v="537"/>
    <n v="0.49"/>
    <m/>
    <x v="10"/>
    <x v="2"/>
    <x v="1"/>
    <n v="263"/>
    <s v=""/>
    <s v=""/>
    <n v="0.49"/>
  </r>
  <r>
    <x v="84"/>
    <n v="799"/>
    <n v="900"/>
    <n v="0.11"/>
    <m/>
    <x v="10"/>
    <x v="2"/>
    <x v="2"/>
    <n v="101"/>
    <s v=""/>
    <s v=""/>
    <n v="0.11"/>
  </r>
  <r>
    <x v="56"/>
    <n v="657"/>
    <n v="1288"/>
    <n v="0.49"/>
    <m/>
    <x v="10"/>
    <x v="2"/>
    <x v="1"/>
    <n v="631"/>
    <s v=""/>
    <s v=""/>
    <n v="0.49"/>
  </r>
  <r>
    <x v="85"/>
    <n v="1468"/>
    <n v="1699"/>
    <n v="0.14000000000000001"/>
    <m/>
    <x v="10"/>
    <x v="2"/>
    <x v="2"/>
    <n v="231"/>
    <s v=""/>
    <s v=""/>
    <n v="0.14000000000000001"/>
  </r>
  <r>
    <x v="86"/>
    <n v="630"/>
    <n v="1100"/>
    <n v="0.43"/>
    <m/>
    <x v="10"/>
    <x v="2"/>
    <x v="1"/>
    <n v="470"/>
    <s v=""/>
    <s v=""/>
    <n v="0.43"/>
  </r>
  <r>
    <x v="87"/>
    <n v="850"/>
    <n v="1700"/>
    <n v="0.5"/>
    <m/>
    <x v="10"/>
    <x v="2"/>
    <x v="1"/>
    <n v="850"/>
    <s v=""/>
    <s v=""/>
    <n v="0.5"/>
  </r>
  <r>
    <x v="88"/>
    <n v="1300"/>
    <n v="2500"/>
    <n v="0.48"/>
    <m/>
    <x v="10"/>
    <x v="2"/>
    <x v="1"/>
    <n v="1200"/>
    <s v=""/>
    <s v=""/>
    <n v="0.48"/>
  </r>
  <r>
    <x v="89"/>
    <n v="105"/>
    <n v="200"/>
    <n v="0.48"/>
    <m/>
    <x v="10"/>
    <x v="2"/>
    <x v="1"/>
    <n v="95"/>
    <s v=""/>
    <s v=""/>
    <n v="0.48"/>
  </r>
  <r>
    <x v="90"/>
    <n v="899"/>
    <n v="1699"/>
    <n v="0.47"/>
    <m/>
    <x v="10"/>
    <x v="2"/>
    <x v="1"/>
    <n v="800"/>
    <s v=""/>
    <s v=""/>
    <n v="0.47"/>
  </r>
  <r>
    <x v="90"/>
    <n v="899"/>
    <n v="1699"/>
    <n v="0.47"/>
    <m/>
    <x v="10"/>
    <x v="2"/>
    <x v="1"/>
    <n v="800"/>
    <s v=""/>
    <s v=""/>
    <n v="0.47"/>
  </r>
  <r>
    <x v="91"/>
    <n v="1200"/>
    <n v="2400"/>
    <n v="0.5"/>
    <m/>
    <x v="10"/>
    <x v="2"/>
    <x v="1"/>
    <n v="1200"/>
    <s v=""/>
    <s v=""/>
    <n v="0.5"/>
  </r>
  <r>
    <x v="92"/>
    <n v="1526"/>
    <n v="1660"/>
    <n v="0.08"/>
    <m/>
    <x v="10"/>
    <x v="2"/>
    <x v="2"/>
    <n v="134"/>
    <s v=""/>
    <s v=""/>
    <n v="0.08"/>
  </r>
  <r>
    <x v="93"/>
    <n v="1462"/>
    <n v="1499"/>
    <n v="0.02"/>
    <m/>
    <x v="10"/>
    <x v="2"/>
    <x v="2"/>
    <n v="37"/>
    <s v=""/>
    <s v=""/>
    <n v="0.02"/>
  </r>
  <r>
    <x v="94"/>
    <n v="248"/>
    <n v="486"/>
    <n v="0.49"/>
    <m/>
    <x v="10"/>
    <x v="2"/>
    <x v="1"/>
    <n v="238"/>
    <s v=""/>
    <s v=""/>
    <n v="0.49"/>
  </r>
  <r>
    <x v="95"/>
    <n v="3546"/>
    <n v="3699"/>
    <n v="0.04"/>
    <m/>
    <x v="10"/>
    <x v="2"/>
    <x v="2"/>
    <n v="153"/>
    <s v=""/>
    <s v=""/>
    <n v="0.04"/>
  </r>
  <r>
    <x v="96"/>
    <n v="525"/>
    <n v="1029"/>
    <n v="0.49"/>
    <m/>
    <x v="10"/>
    <x v="2"/>
    <x v="1"/>
    <n v="504"/>
    <s v=""/>
    <s v=""/>
    <n v="0.49"/>
  </r>
  <r>
    <x v="97"/>
    <n v="1080"/>
    <n v="1874"/>
    <n v="0.42"/>
    <m/>
    <x v="10"/>
    <x v="2"/>
    <x v="1"/>
    <n v="794"/>
    <s v=""/>
    <s v=""/>
    <n v="0.42"/>
  </r>
  <r>
    <x v="98"/>
    <n v="3640"/>
    <n v="4588"/>
    <n v="0.21"/>
    <n v="1"/>
    <x v="8"/>
    <x v="1"/>
    <x v="0"/>
    <n v="948"/>
    <n v="5.0000010000000001"/>
    <n v="1.0049999999999999"/>
    <n v="0.21000099999999999"/>
  </r>
  <r>
    <x v="99"/>
    <n v="1420"/>
    <n v="2420"/>
    <n v="0.41"/>
    <m/>
    <x v="10"/>
    <x v="2"/>
    <x v="1"/>
    <n v="1000"/>
    <s v=""/>
    <s v=""/>
    <n v="0.41"/>
  </r>
  <r>
    <x v="100"/>
    <n v="1875"/>
    <n v="1899"/>
    <n v="0.01"/>
    <m/>
    <x v="10"/>
    <x v="2"/>
    <x v="2"/>
    <n v="24"/>
    <s v=""/>
    <s v=""/>
    <n v="0.01"/>
  </r>
  <r>
    <x v="101"/>
    <n v="198"/>
    <n v="260"/>
    <n v="0.24"/>
    <m/>
    <x v="10"/>
    <x v="2"/>
    <x v="0"/>
    <n v="62"/>
    <s v=""/>
    <s v=""/>
    <n v="0.24"/>
  </r>
  <r>
    <x v="102"/>
    <n v="1150"/>
    <n v="1737"/>
    <n v="0.34"/>
    <m/>
    <x v="10"/>
    <x v="2"/>
    <x v="0"/>
    <n v="587"/>
    <s v=""/>
    <s v=""/>
    <n v="0.34"/>
  </r>
  <r>
    <x v="103"/>
    <n v="1190"/>
    <n v="1810"/>
    <n v="0.34"/>
    <m/>
    <x v="10"/>
    <x v="2"/>
    <x v="0"/>
    <n v="620"/>
    <s v=""/>
    <s v=""/>
    <n v="0.34"/>
  </r>
  <r>
    <x v="104"/>
    <n v="1658"/>
    <n v="1699"/>
    <n v="0.02"/>
    <m/>
    <x v="10"/>
    <x v="2"/>
    <x v="2"/>
    <n v="41"/>
    <s v=""/>
    <s v=""/>
    <n v="0.02"/>
  </r>
  <r>
    <x v="105"/>
    <n v="1768"/>
    <n v="1799"/>
    <n v="0.02"/>
    <m/>
    <x v="10"/>
    <x v="2"/>
    <x v="2"/>
    <n v="31"/>
    <s v=""/>
    <s v=""/>
    <n v="0.02"/>
  </r>
  <r>
    <x v="106"/>
    <n v="199"/>
    <n v="553"/>
    <n v="0.64"/>
    <m/>
    <x v="10"/>
    <x v="2"/>
    <x v="1"/>
    <n v="354"/>
    <s v=""/>
    <s v=""/>
    <n v="0.64"/>
  </r>
  <r>
    <x v="107"/>
    <n v="450"/>
    <n v="900"/>
    <n v="0.5"/>
    <n v="1"/>
    <x v="22"/>
    <x v="3"/>
    <x v="1"/>
    <n v="450"/>
    <n v="2.0000010000000001"/>
    <n v="1.002"/>
    <n v="0.50000100000000003"/>
  </r>
  <r>
    <x v="108"/>
    <n v="169"/>
    <n v="320"/>
    <n v="0.47"/>
    <m/>
    <x v="10"/>
    <x v="2"/>
    <x v="1"/>
    <n v="151"/>
    <s v=""/>
    <s v=""/>
    <n v="0.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947D10-82BB-4E0F-9671-C050E67DD432}" name="PivotTable7" cacheId="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17:Q22" firstHeaderRow="1" firstDataRow="2" firstDataCol="1"/>
  <pivotFields count="12">
    <pivotField dataField="1" showAll="0"/>
    <pivotField numFmtId="2" showAll="0"/>
    <pivotField numFmtId="2" showAll="0"/>
    <pivotField numFmtId="10" showAll="0"/>
    <pivotField showAll="0"/>
    <pivotField showAll="0"/>
    <pivotField axis="axisCol" showAll="0">
      <items count="5">
        <item x="0"/>
        <item x="1"/>
        <item x="2"/>
        <item x="3"/>
        <item t="default"/>
      </items>
    </pivotField>
    <pivotField axis="axisRow" showAll="0">
      <items count="4">
        <item x="1"/>
        <item x="2"/>
        <item x="0"/>
        <item t="default"/>
      </items>
    </pivotField>
    <pivotField numFmtId="2" showAll="0"/>
    <pivotField showAll="0"/>
    <pivotField showAll="0"/>
    <pivotField showAll="0"/>
  </pivotFields>
  <rowFields count="1">
    <field x="7"/>
  </rowFields>
  <rowItems count="4">
    <i>
      <x/>
    </i>
    <i>
      <x v="1"/>
    </i>
    <i>
      <x v="2"/>
    </i>
    <i t="grand">
      <x/>
    </i>
  </rowItems>
  <colFields count="1">
    <field x="6"/>
  </colFields>
  <colItems count="5">
    <i>
      <x/>
    </i>
    <i>
      <x v="1"/>
    </i>
    <i>
      <x v="2"/>
    </i>
    <i>
      <x v="3"/>
    </i>
    <i t="grand">
      <x/>
    </i>
  </colItems>
  <dataFields count="1">
    <dataField name="Count of Product" fld="0" subtotal="count" baseField="0" baseItem="0"/>
  </dataFields>
  <chartFormats count="4">
    <chartFormat chart="3" format="8" series="1">
      <pivotArea type="data" outline="0" fieldPosition="0">
        <references count="2">
          <reference field="4294967294" count="1" selected="0">
            <x v="0"/>
          </reference>
          <reference field="6" count="1" selected="0">
            <x v="0"/>
          </reference>
        </references>
      </pivotArea>
    </chartFormat>
    <chartFormat chart="3" format="9" series="1">
      <pivotArea type="data" outline="0" fieldPosition="0">
        <references count="2">
          <reference field="4294967294" count="1" selected="0">
            <x v="0"/>
          </reference>
          <reference field="6" count="1" selected="0">
            <x v="1"/>
          </reference>
        </references>
      </pivotArea>
    </chartFormat>
    <chartFormat chart="3" format="10" series="1">
      <pivotArea type="data" outline="0" fieldPosition="0">
        <references count="2">
          <reference field="4294967294" count="1" selected="0">
            <x v="0"/>
          </reference>
          <reference field="6" count="1" selected="0">
            <x v="2"/>
          </reference>
        </references>
      </pivotArea>
    </chartFormat>
    <chartFormat chart="3"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0BD8F7-BE40-4DF3-B250-CADFF00351C0}" name="PivotTable6" cacheId="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2:M13" firstHeaderRow="1" firstDataRow="1" firstDataCol="1"/>
  <pivotFields count="12">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10" showAll="0"/>
    <pivotField showAll="0"/>
    <pivotField showAll="0"/>
    <pivotField showAll="0"/>
    <pivotField showAll="0"/>
    <pivotField numFmtId="2" showAll="0"/>
    <pivotField showAll="0"/>
    <pivotField showAll="0"/>
    <pivotField showAll="0"/>
  </pivotFields>
  <rowFields count="1">
    <field x="0"/>
  </rowFields>
  <rowItems count="11">
    <i>
      <x v="31"/>
    </i>
    <i>
      <x v="70"/>
    </i>
    <i>
      <x v="30"/>
    </i>
    <i>
      <x v="53"/>
    </i>
    <i>
      <x v="67"/>
    </i>
    <i>
      <x v="84"/>
    </i>
    <i>
      <x v="52"/>
    </i>
    <i>
      <x v="20"/>
    </i>
    <i>
      <x v="60"/>
    </i>
    <i>
      <x v="64"/>
    </i>
    <i t="grand">
      <x/>
    </i>
  </rowItems>
  <colItems count="1">
    <i/>
  </colItems>
  <dataFields count="1">
    <dataField name="Average of Discount" fld="3" subtotal="average" baseField="0" baseItem="0" numFmtId="1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8141DE-2C32-4A75-B6BA-5C2783CB1E63}" name="PivotTable4" cacheId="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2:I13" firstHeaderRow="1" firstDataRow="1" firstDataCol="1"/>
  <pivotFields count="12">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10" showAll="0"/>
    <pivotField showAll="0"/>
    <pivotField dataField="1" showAll="0"/>
    <pivotField showAll="0"/>
    <pivotField showAll="0"/>
    <pivotField numFmtId="2" showAll="0"/>
    <pivotField showAll="0"/>
    <pivotField showAll="0"/>
    <pivotField showAll="0"/>
  </pivotFields>
  <rowFields count="1">
    <field x="0"/>
  </rowFields>
  <rowItems count="11">
    <i>
      <x v="52"/>
    </i>
    <i>
      <x v="68"/>
    </i>
    <i>
      <x v="65"/>
    </i>
    <i>
      <x v="40"/>
    </i>
    <i>
      <x v="87"/>
    </i>
    <i>
      <x v="44"/>
    </i>
    <i>
      <x v="57"/>
    </i>
    <i>
      <x v="70"/>
    </i>
    <i>
      <x v="90"/>
    </i>
    <i>
      <x v="22"/>
    </i>
    <i t="grand">
      <x/>
    </i>
  </rowItems>
  <colItems count="1">
    <i/>
  </colItems>
  <dataFields count="1">
    <dataField name="Average of Rating" fld="5" subtotal="average"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C21486-BD04-47FA-AC0C-4EA86737F67B}" name="PivotTable3" cacheId="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B28" firstHeaderRow="1" firstDataRow="1" firstDataCol="1"/>
  <pivotFields count="12">
    <pivotField showAll="0"/>
    <pivotField numFmtId="2" showAll="0"/>
    <pivotField numFmtId="2" showAll="0"/>
    <pivotField numFmtId="10" showAll="0"/>
    <pivotField dataField="1" showAll="0"/>
    <pivotField showAll="0"/>
    <pivotField showAll="0"/>
    <pivotField axis="axisRow" showAll="0">
      <items count="4">
        <item x="1"/>
        <item x="2"/>
        <item x="0"/>
        <item t="default"/>
      </items>
    </pivotField>
    <pivotField numFmtId="2" showAll="0"/>
    <pivotField showAll="0"/>
    <pivotField showAll="0"/>
    <pivotField showAll="0"/>
  </pivotFields>
  <rowFields count="1">
    <field x="7"/>
  </rowFields>
  <rowItems count="4">
    <i>
      <x/>
    </i>
    <i>
      <x v="1"/>
    </i>
    <i>
      <x v="2"/>
    </i>
    <i t="grand">
      <x/>
    </i>
  </rowItems>
  <colItems count="1">
    <i/>
  </colItems>
  <dataFields count="1">
    <dataField name="Average of Review" fld="4" subtotal="average" baseField="7"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CE1B23-FBEC-47AE-885C-5A62892084AE}" name="PivotTable2" cacheId="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19" firstHeaderRow="1" firstDataRow="1" firstDataCol="1"/>
  <pivotFields count="12">
    <pivotField dataField="1" showAll="0"/>
    <pivotField numFmtId="2" showAll="0"/>
    <pivotField numFmtId="2" showAll="0"/>
    <pivotField numFmtId="10" showAll="0"/>
    <pivotField showAll="0"/>
    <pivotField showAll="0"/>
    <pivotField axis="axisRow" showAll="0">
      <items count="5">
        <item x="0"/>
        <item x="1"/>
        <item x="2"/>
        <item x="3"/>
        <item t="default"/>
      </items>
    </pivotField>
    <pivotField showAll="0"/>
    <pivotField numFmtId="2" showAll="0"/>
    <pivotField showAll="0"/>
    <pivotField showAll="0"/>
    <pivotField showAll="0"/>
  </pivotFields>
  <rowFields count="1">
    <field x="6"/>
  </rowFields>
  <rowItems count="5">
    <i>
      <x/>
    </i>
    <i>
      <x v="1"/>
    </i>
    <i>
      <x v="2"/>
    </i>
    <i>
      <x v="3"/>
    </i>
    <i t="grand">
      <x/>
    </i>
  </rowItems>
  <colItems count="1">
    <i/>
  </colItems>
  <dataFields count="1">
    <dataField name="Count of Product" fld="0"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66A740-E116-4046-968A-32C66FA36AD9}" name="PivotTable1" cacheId="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2">
    <pivotField dataField="1" showAll="0"/>
    <pivotField numFmtId="2" showAll="0"/>
    <pivotField numFmtId="2" showAll="0"/>
    <pivotField numFmtId="10" showAll="0"/>
    <pivotField showAll="0"/>
    <pivotField showAll="0"/>
    <pivotField showAll="0">
      <items count="5">
        <item x="0"/>
        <item x="1"/>
        <item x="2"/>
        <item x="3"/>
        <item t="default"/>
      </items>
    </pivotField>
    <pivotField axis="axisRow" showAll="0">
      <items count="4">
        <item x="1"/>
        <item x="2"/>
        <item x="0"/>
        <item t="default"/>
      </items>
    </pivotField>
    <pivotField numFmtId="2" showAll="0"/>
    <pivotField showAll="0"/>
    <pivotField showAll="0"/>
    <pivotField showAll="0"/>
  </pivotFields>
  <rowFields count="1">
    <field x="7"/>
  </rowFields>
  <rowItems count="4">
    <i>
      <x/>
    </i>
    <i>
      <x v="1"/>
    </i>
    <i>
      <x v="2"/>
    </i>
    <i t="grand">
      <x/>
    </i>
  </rowItems>
  <colItems count="1">
    <i/>
  </colItems>
  <dataFields count="1">
    <dataField name="Count of Product"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6EBEA9-B5E9-4AEB-B5FB-B12FDB82D8FB}" name="PivotTable5" cacheId="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7:I28" firstHeaderRow="1" firstDataRow="1" firstDataCol="1"/>
  <pivotFields count="12">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10" showAll="0"/>
    <pivotField dataField="1" showAll="0"/>
    <pivotField showAll="0"/>
    <pivotField showAll="0"/>
    <pivotField showAll="0"/>
    <pivotField numFmtId="2" showAll="0"/>
    <pivotField showAll="0"/>
    <pivotField showAll="0"/>
    <pivotField showAll="0"/>
  </pivotFields>
  <rowFields count="1">
    <field x="0"/>
  </rowFields>
  <rowItems count="11">
    <i>
      <x v="5"/>
    </i>
    <i>
      <x v="8"/>
    </i>
    <i>
      <x v="59"/>
    </i>
    <i>
      <x v="18"/>
    </i>
    <i>
      <x v="1"/>
    </i>
    <i>
      <x v="95"/>
    </i>
    <i>
      <x v="27"/>
    </i>
    <i>
      <x v="91"/>
    </i>
    <i>
      <x v="28"/>
    </i>
    <i>
      <x v="26"/>
    </i>
    <i t="grand">
      <x/>
    </i>
  </rowItems>
  <colItems count="1">
    <i/>
  </colItems>
  <dataFields count="1">
    <dataField name="Sum of Review"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21C7660D-5110-4A6F-A3F2-5475CF0BCFBD}" sourceName="Discount Category">
  <pivotTables>
    <pivotTable tabId="5" name="PivotTable1"/>
    <pivotTable tabId="5" name="PivotTable7"/>
  </pivotTables>
  <data>
    <tabular pivotCacheId="142217818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82DB47AA-7394-4349-879D-4F8C78DDAF92}" sourceName="Rating Category">
  <pivotTables>
    <pivotTable tabId="5" name="PivotTable2"/>
    <pivotTable tabId="5" name="PivotTable7"/>
  </pivotTables>
  <data>
    <tabular pivotCacheId="142217818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E94EF5AA-560E-4049-A947-E164C89EC44F}" cache="Slicer_Discount_Category" caption="Discount Category" rowHeight="257588"/>
  <slicer name="Rating Category" xr10:uid="{9774A322-2181-48F8-9A80-6C10D101BE38}" cache="Slicer_Rating_Category" caption="Rating Category" rowHeight="2575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ED453D-0CC4-4839-878E-26C36EE062CC}" name="tblProducts" displayName="tblProducts" ref="A1:L116" totalsRowShown="0" headerRowDxfId="43" headerRowBorderDxfId="57" tableBorderDxfId="58" totalsRowBorderDxfId="56">
  <autoFilter ref="A1:L116" xr:uid="{4872F716-5559-4D17-9C44-48DDD523F9F4}"/>
  <tableColumns count="12">
    <tableColumn id="1" xr3:uid="{925E06B7-3255-4235-A4A3-45C3B0F4DA11}" name="Product" dataDxfId="55"/>
    <tableColumn id="2" xr3:uid="{23A592CA-D4C6-4AF6-978A-32D5B8542D2E}" name="Current price (Ksh)" dataDxfId="54"/>
    <tableColumn id="3" xr3:uid="{5D6B4F4D-B2B5-48D7-8B0F-977591B3F64A}" name="old price (Ksh)" dataDxfId="53"/>
    <tableColumn id="4" xr3:uid="{14625B29-B089-43E1-9D5D-0E7EDF61A6ED}" name="Discount" dataDxfId="52"/>
    <tableColumn id="5" xr3:uid="{E59E19D4-E79D-44BB-A0EA-DAB0ED7C81E8}" name="Review" dataDxfId="51"/>
    <tableColumn id="6" xr3:uid="{EE6E84B8-C86C-4ED0-968A-64EA54628C4D}" name="Rating" dataDxfId="50"/>
    <tableColumn id="7" xr3:uid="{31F00D6D-1257-462F-85E4-270D10112096}" name="Rating Category" dataDxfId="49">
      <calculatedColumnFormula>IF(tblProducts[[#This Row],[Rating]]="","Missing",IF(tblProducts[[#This Row],[Rating]]&lt;3,"Poor",IF(tblProducts[[#This Row],[Rating]]&lt;=4.5,"Average","Excellent")))</calculatedColumnFormula>
    </tableColumn>
    <tableColumn id="8" xr3:uid="{AE68090E-96F7-4346-9997-D41B8505230B}" name="Discount Category" dataDxfId="48">
      <calculatedColumnFormula>IF(tblProducts[[#This Row],[Discount]]="","Missing",IF(tblProducts[[#This Row],[Discount]]&lt;20%,"Low Discount",IF(tblProducts[[#This Row],[Discount]]&lt;=40%,"Medium Discount","High Discount")))</calculatedColumnFormula>
    </tableColumn>
    <tableColumn id="9" xr3:uid="{3FACF0EE-6053-40F0-9E95-BAA32F51BAD4}" name="Discount Amount" dataDxfId="47">
      <calculatedColumnFormula>tblProducts[[#This Row],[old price (Ksh)]]-tblProducts[[#This Row],[Current price (Ksh)]]</calculatedColumnFormula>
    </tableColumn>
    <tableColumn id="10" xr3:uid="{F8ED7491-64F0-4D95-A8FA-AF151EA9FABD}" name="Rating Rank Key" dataDxfId="46">
      <calculatedColumnFormula>IF(tblProducts[[#This Row],[Rating]]="","",tblProducts[[#This Row],[Rating]]+tblProducts[[#This Row],[Review]]/1000000+ROW()/100000000)</calculatedColumnFormula>
    </tableColumn>
    <tableColumn id="11" xr3:uid="{9F5BA5D9-DD2B-4039-94BA-4A0909F5D0FD}" name="Review Rank Key" dataDxfId="45">
      <calculatedColumnFormula>IF(tblProducts[[#This Row],[Review]]="","",tblProducts[[#This Row],[Review]]+tblProducts[[#This Row],[Rating]]/1000)</calculatedColumnFormula>
    </tableColumn>
    <tableColumn id="12" xr3:uid="{15348345-FE3A-4BCB-B94F-E73C732AB5A1}" name="Discount Rank Key" dataDxfId="44">
      <calculatedColumnFormula>IF(tblProducts[[#This Row],[Discount]]="","",tblProducts[[#This Row],[Discount]]+tblProducts[[#This Row],[Review]]/1000000)</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6DB953-C93B-4AA0-B1BC-6A323D1D4083}" name="Table2" displayName="Table2" ref="A1:B7" totalsRowShown="0" headerRowDxfId="37" headerRowBorderDxfId="41" tableBorderDxfId="42" totalsRowBorderDxfId="40">
  <autoFilter ref="A1:B7" xr:uid="{E16DB953-C93B-4AA0-B1BC-6A323D1D4083}"/>
  <tableColumns count="2">
    <tableColumn id="1" xr3:uid="{D3DDCCCB-C3C9-475E-8F07-26849176E86F}" name="Key Performance Indicators (KPIs)" dataDxfId="39"/>
    <tableColumn id="2" xr3:uid="{79F3918C-94BB-42CD-A971-EDC13B316810}" name="Value" dataDxfId="38"/>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719312-23AB-4039-A766-40803568F05B}" name="Table3" displayName="Table3" ref="A10:B13" totalsRowShown="0" headerRowDxfId="31" headerRowBorderDxfId="35" tableBorderDxfId="36" totalsRowBorderDxfId="34">
  <autoFilter ref="A10:B13" xr:uid="{AA719312-23AB-4039-A766-40803568F05B}"/>
  <tableColumns count="2">
    <tableColumn id="1" xr3:uid="{95ED17FF-2F83-4BE4-9B76-7C26FAF7422C}" name="Correlations" dataDxfId="33"/>
    <tableColumn id="2" xr3:uid="{B16FB309-6261-44DB-957F-24DB9FAA2D71}" name="Value" dataDxfId="32"/>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61E5C-AECD-4E44-A68F-14D2410F0D6B}" name="Table4" displayName="Table4" ref="A16:D26" totalsRowShown="0" headerRowDxfId="26" headerRowBorderDxfId="29" tableBorderDxfId="30" totalsRowBorderDxfId="28">
  <autoFilter ref="A16:D26" xr:uid="{6A761E5C-AECD-4E44-A68F-14D2410F0D6B}"/>
  <sortState xmlns:xlrd2="http://schemas.microsoft.com/office/spreadsheetml/2017/richdata2" ref="A17:D26">
    <sortCondition descending="1" ref="C16:C26"/>
  </sortState>
  <tableColumns count="4">
    <tableColumn id="1" xr3:uid="{7CFDF16F-D5E8-469D-B1DE-791216DD3A6E}" name="Rank" dataDxfId="5"/>
    <tableColumn id="2" xr3:uid="{7127A191-8F35-43F4-9CD7-1B54D5E8A094}" name="Product" dataDxfId="3">
      <calculatedColumnFormula>INDEX(tblProducts[Product],MATCH(C17,tblProducts[Rating Rank Key],0))</calculatedColumnFormula>
    </tableColumn>
    <tableColumn id="3" xr3:uid="{8657C1B5-BCFD-4DE8-B325-82D1092BFC0C}" name="Rating" dataDxfId="4">
      <calculatedColumnFormula>LARGE(tblProducts[Rating Rank Key],A17)</calculatedColumnFormula>
    </tableColumn>
    <tableColumn id="4" xr3:uid="{75C84B56-B433-4FD7-AF45-C93F0F8E5E56}" name="Real Rating" dataDxfId="27">
      <calculatedColumnFormula>INDEX(tblProducts[Rating],MATCH(C17,tblProducts[Rating Rank Key],0))</calculatedColumnFormula>
    </tableColumn>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25F9C8-D24A-44C1-85C8-7ADD91A793AD}" name="Table5" displayName="Table5" ref="A30:D40" totalsRowShown="0" headerRowDxfId="18" headerRowBorderDxfId="24" tableBorderDxfId="25" totalsRowBorderDxfId="23">
  <autoFilter ref="A30:D40" xr:uid="{C325F9C8-D24A-44C1-85C8-7ADD91A793AD}"/>
  <tableColumns count="4">
    <tableColumn id="1" xr3:uid="{49385120-BD4F-4241-94D0-D582C4341DC3}" name="Rank" dataDxfId="22"/>
    <tableColumn id="2" xr3:uid="{9991CF86-D830-412B-A3F6-898AA140C9D8}" name="Product" dataDxfId="21">
      <calculatedColumnFormula>INDEX(tblProducts[Product],MATCH(C31,tblProducts[Review Rank Key],0))</calculatedColumnFormula>
    </tableColumn>
    <tableColumn id="3" xr3:uid="{D00D19AF-2661-4F3B-B79B-6DC17695BDF9}" name="Sort Key" dataDxfId="20">
      <calculatedColumnFormula>LARGE(tblProducts[Review Rank Key],A31)</calculatedColumnFormula>
    </tableColumn>
    <tableColumn id="4" xr3:uid="{EE75103E-E2CF-4B92-BBA1-0FC2B0045551}" name="Review Count" dataDxfId="19">
      <calculatedColumnFormula>INDEX(tblProducts[Review],MATCH(C31,tblProducts[Review Rank Key],0))</calculatedColumnFormula>
    </tableColumn>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F3C368-42E1-4A27-8D5B-58D49A0A0DE8}" name="Table6" displayName="Table6" ref="A44:D54" totalsRowShown="0" headerRowDxfId="13" headerRowBorderDxfId="16" tableBorderDxfId="17" totalsRowBorderDxfId="15">
  <autoFilter ref="A44:D54" xr:uid="{A2F3C368-42E1-4A27-8D5B-58D49A0A0DE8}"/>
  <tableColumns count="4">
    <tableColumn id="1" xr3:uid="{B4D1A1A1-B4C4-4817-9348-DBC0301ADAA8}" name="Rank" dataDxfId="2"/>
    <tableColumn id="2" xr3:uid="{9E813EEC-C63F-4F38-B38C-551D45B22049}" name="Product" dataDxfId="0">
      <calculatedColumnFormula>INDEX(tblProducts[Product],MATCH(C45,tblProducts[Discount Rank Key],0))</calculatedColumnFormula>
    </tableColumn>
    <tableColumn id="3" xr3:uid="{8CBDF7F8-9133-493C-BD17-D2A180823720}" name="Sort Key" dataDxfId="1">
      <calculatedColumnFormula>LARGE(tblProducts[Discount Rank Key],A45)</calculatedColumnFormula>
    </tableColumn>
    <tableColumn id="4" xr3:uid="{47FF6A14-8A10-4882-8067-96EAD209E867}" name="Discount %" dataDxfId="14">
      <calculatedColumnFormula>INDEX(tblProducts[Discount],MATCH(C45,tblProducts[Discount Rank Key],0))</calculatedColumnFormula>
    </tableColumn>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927FC0-283F-4F1C-BA55-0DE43033C96A}" name="Table8" displayName="Table8" ref="A2:C8" totalsRowShown="0" headerRowDxfId="63" headerRowBorderDxfId="65" tableBorderDxfId="66" totalsRowBorderDxfId="64">
  <autoFilter ref="A2:C8" xr:uid="{A1927FC0-283F-4F1C-BA55-0DE43033C96A}"/>
  <tableColumns count="3">
    <tableColumn id="1" xr3:uid="{CB86B084-2B40-4A08-9E0B-B8EF37841DB0}" name="Field Name" dataDxfId="10"/>
    <tableColumn id="2" xr3:uid="{0A181919-545A-4B18-9408-472F6ACF7C4E}" name="Meaning" dataDxfId="8"/>
    <tableColumn id="3" xr3:uid="{C28099E7-1CB8-4BD1-AFA0-9126AFC74EC2}" name="Cleaned Data Type" dataDxfId="9"/>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993FB46-D327-490A-8398-E8B51FEE51B8}" name="Table9" displayName="Table9" ref="A12:D20" totalsRowShown="0" headerRowDxfId="59" headerRowBorderDxfId="61" tableBorderDxfId="62" totalsRowBorderDxfId="60">
  <autoFilter ref="A12:D20" xr:uid="{D993FB46-D327-490A-8398-E8B51FEE51B8}"/>
  <tableColumns count="4">
    <tableColumn id="1" xr3:uid="{A40BC748-4378-450B-B3D9-B47BA996F2C0}" name="Issue" dataDxfId="12"/>
    <tableColumn id="2" xr3:uid="{C4CCF92F-3A76-4C1C-9AF3-481C74FF6855}" name="Rows Affected" dataDxfId="11"/>
    <tableColumn id="3" xr3:uid="{CC6775F8-D43E-403D-B2BB-F6EBEA894F6E}" name="Decision" dataDxfId="7"/>
    <tableColumn id="4" xr3:uid="{DBEBAB96-BE3D-4442-8A96-CC0BAAD2F63F}" name="Reason" dataDxfId="6"/>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D982-D91D-4289-A15F-219F08B4695D}">
  <dimension ref="A1:F116"/>
  <sheetViews>
    <sheetView tabSelected="1" workbookViewId="0">
      <selection activeCell="I13" sqref="I13"/>
    </sheetView>
  </sheetViews>
  <sheetFormatPr defaultRowHeight="15.05" x14ac:dyDescent="0.3"/>
  <cols>
    <col min="1" max="1" width="86.21875" bestFit="1" customWidth="1"/>
  </cols>
  <sheetData>
    <row r="1" spans="1:6" x14ac:dyDescent="0.3">
      <c r="A1" t="s">
        <v>0</v>
      </c>
      <c r="B1" t="s">
        <v>1</v>
      </c>
      <c r="C1" t="s">
        <v>2</v>
      </c>
      <c r="D1" t="s">
        <v>3</v>
      </c>
      <c r="E1" t="s">
        <v>4</v>
      </c>
      <c r="F1" t="s">
        <v>5</v>
      </c>
    </row>
    <row r="2" spans="1:6" x14ac:dyDescent="0.3">
      <c r="A2" t="s">
        <v>6</v>
      </c>
      <c r="B2" t="s">
        <v>7</v>
      </c>
      <c r="C2" t="s">
        <v>8</v>
      </c>
      <c r="D2" s="1">
        <v>0.38</v>
      </c>
      <c r="E2">
        <v>-2</v>
      </c>
      <c r="F2" t="s">
        <v>9</v>
      </c>
    </row>
    <row r="3" spans="1:6" x14ac:dyDescent="0.3">
      <c r="A3" t="s">
        <v>10</v>
      </c>
      <c r="B3" t="s">
        <v>11</v>
      </c>
      <c r="C3" t="s">
        <v>12</v>
      </c>
      <c r="D3" s="1">
        <v>0.47</v>
      </c>
      <c r="E3">
        <v>-14</v>
      </c>
      <c r="F3" t="s">
        <v>13</v>
      </c>
    </row>
    <row r="4" spans="1:6" x14ac:dyDescent="0.3">
      <c r="A4" t="s">
        <v>14</v>
      </c>
      <c r="B4" t="s">
        <v>15</v>
      </c>
      <c r="C4" t="s">
        <v>16</v>
      </c>
      <c r="D4" s="1">
        <v>0.25</v>
      </c>
      <c r="E4">
        <v>-24</v>
      </c>
      <c r="F4" t="s">
        <v>17</v>
      </c>
    </row>
    <row r="5" spans="1:6" x14ac:dyDescent="0.3">
      <c r="A5" t="s">
        <v>18</v>
      </c>
      <c r="B5" t="s">
        <v>19</v>
      </c>
      <c r="C5" t="s">
        <v>20</v>
      </c>
      <c r="D5" s="1">
        <v>0.37</v>
      </c>
      <c r="E5">
        <v>-7</v>
      </c>
      <c r="F5" t="s">
        <v>21</v>
      </c>
    </row>
    <row r="6" spans="1:6" x14ac:dyDescent="0.3">
      <c r="A6" t="s">
        <v>22</v>
      </c>
      <c r="B6" t="s">
        <v>23</v>
      </c>
      <c r="C6" t="s">
        <v>24</v>
      </c>
      <c r="D6" s="1">
        <v>0.26</v>
      </c>
      <c r="E6">
        <v>-5</v>
      </c>
      <c r="F6" t="s">
        <v>25</v>
      </c>
    </row>
    <row r="7" spans="1:6" x14ac:dyDescent="0.3">
      <c r="A7" t="s">
        <v>26</v>
      </c>
      <c r="B7" t="s">
        <v>27</v>
      </c>
      <c r="C7" t="s">
        <v>28</v>
      </c>
      <c r="D7" s="1">
        <v>0.09</v>
      </c>
      <c r="E7">
        <v>-15</v>
      </c>
      <c r="F7" t="s">
        <v>29</v>
      </c>
    </row>
    <row r="8" spans="1:6" x14ac:dyDescent="0.3">
      <c r="A8" t="s">
        <v>30</v>
      </c>
      <c r="B8" t="s">
        <v>31</v>
      </c>
      <c r="C8" t="s">
        <v>32</v>
      </c>
      <c r="D8" s="1">
        <v>0.24</v>
      </c>
      <c r="E8">
        <v>-55</v>
      </c>
      <c r="F8" t="s">
        <v>17</v>
      </c>
    </row>
    <row r="9" spans="1:6" x14ac:dyDescent="0.3">
      <c r="A9" t="s">
        <v>33</v>
      </c>
      <c r="B9" t="s">
        <v>34</v>
      </c>
      <c r="C9" t="s">
        <v>19</v>
      </c>
      <c r="D9" s="1">
        <v>0.37</v>
      </c>
      <c r="E9">
        <v>-2</v>
      </c>
      <c r="F9" t="s">
        <v>29</v>
      </c>
    </row>
    <row r="10" spans="1:6" x14ac:dyDescent="0.3">
      <c r="A10" t="s">
        <v>35</v>
      </c>
      <c r="B10" t="s">
        <v>36</v>
      </c>
      <c r="C10" t="s">
        <v>37</v>
      </c>
      <c r="D10" s="1">
        <v>0.55000000000000004</v>
      </c>
      <c r="E10">
        <v>-5</v>
      </c>
      <c r="F10" t="s">
        <v>25</v>
      </c>
    </row>
    <row r="11" spans="1:6" x14ac:dyDescent="0.3">
      <c r="A11" t="s">
        <v>38</v>
      </c>
      <c r="B11" t="s">
        <v>39</v>
      </c>
      <c r="C11" t="s">
        <v>40</v>
      </c>
      <c r="D11" s="1">
        <v>0.45</v>
      </c>
      <c r="E11">
        <v>-5</v>
      </c>
      <c r="F11" t="s">
        <v>41</v>
      </c>
    </row>
    <row r="12" spans="1:6" x14ac:dyDescent="0.3">
      <c r="A12" t="s">
        <v>42</v>
      </c>
      <c r="B12" t="s">
        <v>43</v>
      </c>
      <c r="C12" t="s">
        <v>12</v>
      </c>
      <c r="D12" s="1">
        <v>0.2</v>
      </c>
      <c r="E12">
        <v>-12</v>
      </c>
      <c r="F12" t="s">
        <v>13</v>
      </c>
    </row>
    <row r="13" spans="1:6" x14ac:dyDescent="0.3">
      <c r="A13" t="s">
        <v>44</v>
      </c>
      <c r="B13" t="s">
        <v>45</v>
      </c>
      <c r="C13" t="s">
        <v>46</v>
      </c>
      <c r="D13" s="1">
        <v>0.34</v>
      </c>
      <c r="E13">
        <v>-39</v>
      </c>
      <c r="F13" t="s">
        <v>21</v>
      </c>
    </row>
    <row r="14" spans="1:6" x14ac:dyDescent="0.3">
      <c r="A14" t="s">
        <v>47</v>
      </c>
      <c r="B14" t="s">
        <v>48</v>
      </c>
      <c r="C14" t="s">
        <v>49</v>
      </c>
      <c r="D14" s="1">
        <v>0.47</v>
      </c>
      <c r="E14">
        <v>-12</v>
      </c>
      <c r="F14" t="s">
        <v>25</v>
      </c>
    </row>
    <row r="15" spans="1:6" x14ac:dyDescent="0.3">
      <c r="A15" t="s">
        <v>50</v>
      </c>
      <c r="B15" t="s">
        <v>51</v>
      </c>
      <c r="C15" t="s">
        <v>52</v>
      </c>
      <c r="D15" s="1">
        <v>0.42</v>
      </c>
      <c r="E15">
        <v>-6</v>
      </c>
      <c r="F15" t="s">
        <v>9</v>
      </c>
    </row>
    <row r="16" spans="1:6" x14ac:dyDescent="0.3">
      <c r="A16" t="s">
        <v>53</v>
      </c>
      <c r="B16" t="s">
        <v>54</v>
      </c>
      <c r="C16" t="s">
        <v>20</v>
      </c>
      <c r="D16" s="1">
        <v>0.33</v>
      </c>
      <c r="E16">
        <v>-9</v>
      </c>
      <c r="F16" t="s">
        <v>55</v>
      </c>
    </row>
    <row r="17" spans="1:6" x14ac:dyDescent="0.3">
      <c r="A17" t="s">
        <v>56</v>
      </c>
      <c r="B17" t="s">
        <v>57</v>
      </c>
      <c r="C17" t="s">
        <v>58</v>
      </c>
      <c r="D17" s="1">
        <v>0.51</v>
      </c>
      <c r="E17">
        <v>-2</v>
      </c>
      <c r="F17" t="s">
        <v>59</v>
      </c>
    </row>
    <row r="18" spans="1:6" x14ac:dyDescent="0.3">
      <c r="A18" t="s">
        <v>60</v>
      </c>
      <c r="B18" t="s">
        <v>61</v>
      </c>
      <c r="C18" t="s">
        <v>62</v>
      </c>
      <c r="D18" s="1">
        <v>0.46</v>
      </c>
      <c r="E18">
        <v>-2</v>
      </c>
      <c r="F18" t="s">
        <v>59</v>
      </c>
    </row>
    <row r="19" spans="1:6" x14ac:dyDescent="0.3">
      <c r="A19" t="s">
        <v>63</v>
      </c>
      <c r="B19" t="s">
        <v>64</v>
      </c>
      <c r="C19" t="s">
        <v>65</v>
      </c>
      <c r="D19" s="1">
        <v>0.49</v>
      </c>
      <c r="E19">
        <v>-3</v>
      </c>
      <c r="F19" t="s">
        <v>59</v>
      </c>
    </row>
    <row r="20" spans="1:6" x14ac:dyDescent="0.3">
      <c r="A20" t="s">
        <v>66</v>
      </c>
      <c r="B20" t="s">
        <v>27</v>
      </c>
      <c r="C20" t="s">
        <v>67</v>
      </c>
      <c r="D20" s="1">
        <v>0.19</v>
      </c>
      <c r="E20">
        <v>-5</v>
      </c>
      <c r="F20" t="s">
        <v>17</v>
      </c>
    </row>
    <row r="21" spans="1:6" x14ac:dyDescent="0.3">
      <c r="A21" t="s">
        <v>68</v>
      </c>
      <c r="B21" t="s">
        <v>69</v>
      </c>
      <c r="C21" t="s">
        <v>70</v>
      </c>
      <c r="D21" s="1">
        <v>0.49</v>
      </c>
      <c r="E21">
        <v>-44</v>
      </c>
      <c r="F21" t="s">
        <v>17</v>
      </c>
    </row>
    <row r="22" spans="1:6" x14ac:dyDescent="0.3">
      <c r="A22" t="s">
        <v>71</v>
      </c>
      <c r="B22" t="s">
        <v>72</v>
      </c>
      <c r="C22" t="s">
        <v>73</v>
      </c>
      <c r="D22" s="1">
        <v>0.53</v>
      </c>
      <c r="E22">
        <v>-13</v>
      </c>
      <c r="F22" t="s">
        <v>74</v>
      </c>
    </row>
    <row r="23" spans="1:6" x14ac:dyDescent="0.3">
      <c r="A23" t="s">
        <v>75</v>
      </c>
      <c r="B23" t="s">
        <v>76</v>
      </c>
      <c r="C23" t="s">
        <v>77</v>
      </c>
      <c r="D23" s="1">
        <v>0.42</v>
      </c>
    </row>
    <row r="24" spans="1:6" x14ac:dyDescent="0.3">
      <c r="A24" t="s">
        <v>78</v>
      </c>
      <c r="B24" t="s">
        <v>79</v>
      </c>
      <c r="C24" t="s">
        <v>80</v>
      </c>
      <c r="D24" s="1">
        <v>0.35</v>
      </c>
      <c r="E24">
        <v>-6</v>
      </c>
      <c r="F24" t="s">
        <v>29</v>
      </c>
    </row>
    <row r="25" spans="1:6" x14ac:dyDescent="0.3">
      <c r="A25" t="s">
        <v>81</v>
      </c>
      <c r="B25" t="s">
        <v>82</v>
      </c>
      <c r="C25" t="s">
        <v>83</v>
      </c>
      <c r="D25" s="1">
        <v>0.23</v>
      </c>
      <c r="E25">
        <v>-14</v>
      </c>
      <c r="F25" t="s">
        <v>84</v>
      </c>
    </row>
    <row r="26" spans="1:6" x14ac:dyDescent="0.3">
      <c r="A26" t="s">
        <v>85</v>
      </c>
      <c r="B26" t="s">
        <v>86</v>
      </c>
      <c r="C26" t="s">
        <v>87</v>
      </c>
      <c r="D26" s="1">
        <v>0.54</v>
      </c>
      <c r="E26">
        <v>-7</v>
      </c>
      <c r="F26" t="s">
        <v>88</v>
      </c>
    </row>
    <row r="27" spans="1:6" x14ac:dyDescent="0.3">
      <c r="A27" t="s">
        <v>89</v>
      </c>
      <c r="B27" t="s">
        <v>90</v>
      </c>
      <c r="C27" t="s">
        <v>91</v>
      </c>
      <c r="D27" s="1">
        <v>0.35</v>
      </c>
      <c r="E27">
        <v>-49</v>
      </c>
      <c r="F27" t="s">
        <v>17</v>
      </c>
    </row>
    <row r="28" spans="1:6" x14ac:dyDescent="0.3">
      <c r="A28" t="s">
        <v>92</v>
      </c>
      <c r="B28" t="s">
        <v>93</v>
      </c>
      <c r="C28" t="s">
        <v>94</v>
      </c>
      <c r="D28" s="1">
        <v>0.18</v>
      </c>
      <c r="E28">
        <v>-12</v>
      </c>
      <c r="F28" t="s">
        <v>41</v>
      </c>
    </row>
    <row r="29" spans="1:6" x14ac:dyDescent="0.3">
      <c r="A29" t="s">
        <v>95</v>
      </c>
      <c r="B29" t="s">
        <v>80</v>
      </c>
      <c r="C29" t="s">
        <v>96</v>
      </c>
      <c r="D29" s="1">
        <v>0.32</v>
      </c>
      <c r="E29">
        <v>-13</v>
      </c>
      <c r="F29" t="s">
        <v>41</v>
      </c>
    </row>
    <row r="30" spans="1:6" x14ac:dyDescent="0.3">
      <c r="A30" t="s">
        <v>97</v>
      </c>
      <c r="B30" t="s">
        <v>98</v>
      </c>
      <c r="C30" t="s">
        <v>20</v>
      </c>
      <c r="D30" s="1">
        <v>0.3</v>
      </c>
      <c r="E30">
        <v>-20</v>
      </c>
      <c r="F30" t="s">
        <v>13</v>
      </c>
    </row>
    <row r="31" spans="1:6" x14ac:dyDescent="0.3">
      <c r="A31" t="s">
        <v>99</v>
      </c>
      <c r="B31" t="s">
        <v>100</v>
      </c>
      <c r="C31" t="s">
        <v>101</v>
      </c>
      <c r="D31" s="1">
        <v>0.46</v>
      </c>
    </row>
    <row r="32" spans="1:6" x14ac:dyDescent="0.3">
      <c r="A32" t="s">
        <v>102</v>
      </c>
      <c r="B32" t="s">
        <v>103</v>
      </c>
      <c r="C32" t="s">
        <v>104</v>
      </c>
      <c r="D32" s="1">
        <v>0.52</v>
      </c>
      <c r="E32">
        <v>-9</v>
      </c>
      <c r="F32" t="s">
        <v>88</v>
      </c>
    </row>
    <row r="33" spans="1:6" x14ac:dyDescent="0.3">
      <c r="A33" t="s">
        <v>105</v>
      </c>
      <c r="B33" t="s">
        <v>106</v>
      </c>
      <c r="C33" t="s">
        <v>107</v>
      </c>
      <c r="D33" s="1">
        <v>0.34</v>
      </c>
      <c r="E33">
        <v>-12</v>
      </c>
      <c r="F33" t="s">
        <v>21</v>
      </c>
    </row>
    <row r="34" spans="1:6" x14ac:dyDescent="0.3">
      <c r="A34" t="s">
        <v>108</v>
      </c>
      <c r="B34" t="s">
        <v>109</v>
      </c>
      <c r="C34" t="s">
        <v>110</v>
      </c>
      <c r="D34" s="1">
        <v>0.48</v>
      </c>
      <c r="E34">
        <v>-9</v>
      </c>
      <c r="F34" t="s">
        <v>88</v>
      </c>
    </row>
    <row r="35" spans="1:6" x14ac:dyDescent="0.3">
      <c r="A35" t="s">
        <v>111</v>
      </c>
      <c r="B35" t="s">
        <v>112</v>
      </c>
      <c r="C35" t="s">
        <v>113</v>
      </c>
      <c r="D35" s="1">
        <v>0.27</v>
      </c>
      <c r="E35">
        <v>-20</v>
      </c>
      <c r="F35" t="s">
        <v>21</v>
      </c>
    </row>
    <row r="36" spans="1:6" x14ac:dyDescent="0.3">
      <c r="A36" t="s">
        <v>114</v>
      </c>
      <c r="B36" t="s">
        <v>115</v>
      </c>
      <c r="C36" t="s">
        <v>116</v>
      </c>
      <c r="D36" s="1">
        <v>0.27</v>
      </c>
      <c r="E36">
        <v>-32</v>
      </c>
      <c r="F36" t="s">
        <v>9</v>
      </c>
    </row>
    <row r="37" spans="1:6" x14ac:dyDescent="0.3">
      <c r="A37" t="s">
        <v>117</v>
      </c>
      <c r="B37" t="s">
        <v>118</v>
      </c>
      <c r="C37" t="s">
        <v>119</v>
      </c>
      <c r="D37" s="1">
        <v>0.4</v>
      </c>
      <c r="E37">
        <v>-1</v>
      </c>
      <c r="F37" t="s">
        <v>59</v>
      </c>
    </row>
    <row r="38" spans="1:6" x14ac:dyDescent="0.3">
      <c r="A38" t="s">
        <v>120</v>
      </c>
      <c r="B38" t="s">
        <v>121</v>
      </c>
      <c r="C38" t="s">
        <v>62</v>
      </c>
      <c r="D38" s="1">
        <v>0.53</v>
      </c>
      <c r="E38">
        <v>-2</v>
      </c>
      <c r="F38" t="s">
        <v>59</v>
      </c>
    </row>
    <row r="39" spans="1:6" x14ac:dyDescent="0.3">
      <c r="A39" t="s">
        <v>122</v>
      </c>
      <c r="B39" t="s">
        <v>123</v>
      </c>
      <c r="C39" t="s">
        <v>124</v>
      </c>
      <c r="D39" s="1">
        <v>0.41</v>
      </c>
      <c r="E39">
        <v>-36</v>
      </c>
      <c r="F39" t="s">
        <v>88</v>
      </c>
    </row>
    <row r="40" spans="1:6" x14ac:dyDescent="0.3">
      <c r="A40" t="s">
        <v>125</v>
      </c>
      <c r="B40" t="s">
        <v>126</v>
      </c>
      <c r="C40" t="s">
        <v>127</v>
      </c>
      <c r="D40" s="1">
        <v>0.38</v>
      </c>
      <c r="E40">
        <v>-2</v>
      </c>
      <c r="F40" t="s">
        <v>9</v>
      </c>
    </row>
    <row r="41" spans="1:6" x14ac:dyDescent="0.3">
      <c r="A41" t="s">
        <v>128</v>
      </c>
      <c r="B41" t="s">
        <v>129</v>
      </c>
      <c r="C41" t="s">
        <v>130</v>
      </c>
      <c r="D41" s="1">
        <v>0.38</v>
      </c>
    </row>
    <row r="42" spans="1:6" x14ac:dyDescent="0.3">
      <c r="A42" t="s">
        <v>131</v>
      </c>
      <c r="B42" t="s">
        <v>132</v>
      </c>
      <c r="C42" t="s">
        <v>133</v>
      </c>
      <c r="D42" s="1">
        <v>0.49</v>
      </c>
    </row>
    <row r="43" spans="1:6" x14ac:dyDescent="0.3">
      <c r="A43" t="s">
        <v>134</v>
      </c>
      <c r="B43" t="s">
        <v>135</v>
      </c>
      <c r="C43" t="s">
        <v>136</v>
      </c>
      <c r="D43" s="1">
        <v>0.5</v>
      </c>
    </row>
    <row r="44" spans="1:6" x14ac:dyDescent="0.3">
      <c r="A44" t="s">
        <v>137</v>
      </c>
      <c r="B44" t="s">
        <v>138</v>
      </c>
      <c r="C44" t="s">
        <v>139</v>
      </c>
      <c r="D44" s="1">
        <v>0.42</v>
      </c>
    </row>
    <row r="45" spans="1:6" x14ac:dyDescent="0.3">
      <c r="A45" t="s">
        <v>137</v>
      </c>
      <c r="B45" t="s">
        <v>138</v>
      </c>
      <c r="C45" t="s">
        <v>139</v>
      </c>
      <c r="D45" s="1">
        <v>0.42</v>
      </c>
    </row>
    <row r="46" spans="1:6" x14ac:dyDescent="0.3">
      <c r="A46" t="s">
        <v>140</v>
      </c>
      <c r="B46" t="s">
        <v>141</v>
      </c>
      <c r="C46" t="s">
        <v>142</v>
      </c>
      <c r="D46" s="1">
        <v>0.02</v>
      </c>
    </row>
    <row r="47" spans="1:6" x14ac:dyDescent="0.3">
      <c r="A47" t="s">
        <v>143</v>
      </c>
      <c r="B47" t="s">
        <v>12</v>
      </c>
      <c r="C47" t="s">
        <v>144</v>
      </c>
      <c r="D47" s="1">
        <v>0.5</v>
      </c>
    </row>
    <row r="48" spans="1:6" x14ac:dyDescent="0.3">
      <c r="A48" t="s">
        <v>145</v>
      </c>
      <c r="B48" t="s">
        <v>146</v>
      </c>
      <c r="C48" t="s">
        <v>147</v>
      </c>
      <c r="D48" s="1">
        <v>0.33</v>
      </c>
    </row>
    <row r="49" spans="1:6" x14ac:dyDescent="0.3">
      <c r="A49" t="s">
        <v>148</v>
      </c>
      <c r="B49" t="s">
        <v>149</v>
      </c>
      <c r="C49" t="s">
        <v>150</v>
      </c>
      <c r="D49" s="1">
        <v>0.49</v>
      </c>
    </row>
    <row r="50" spans="1:6" x14ac:dyDescent="0.3">
      <c r="A50" t="s">
        <v>151</v>
      </c>
      <c r="B50" t="s">
        <v>152</v>
      </c>
      <c r="C50" t="s">
        <v>153</v>
      </c>
      <c r="D50" s="1">
        <v>0.38</v>
      </c>
    </row>
    <row r="51" spans="1:6" x14ac:dyDescent="0.3">
      <c r="A51" t="s">
        <v>154</v>
      </c>
      <c r="B51" t="s">
        <v>155</v>
      </c>
      <c r="C51" t="s">
        <v>156</v>
      </c>
      <c r="D51" s="1">
        <v>0.61</v>
      </c>
    </row>
    <row r="52" spans="1:6" x14ac:dyDescent="0.3">
      <c r="A52" t="s">
        <v>157</v>
      </c>
      <c r="B52" t="s">
        <v>158</v>
      </c>
      <c r="C52" t="s">
        <v>159</v>
      </c>
      <c r="D52" s="1">
        <v>0.5</v>
      </c>
    </row>
    <row r="53" spans="1:6" x14ac:dyDescent="0.3">
      <c r="A53" t="s">
        <v>160</v>
      </c>
      <c r="B53" t="s">
        <v>161</v>
      </c>
      <c r="C53" t="s">
        <v>162</v>
      </c>
      <c r="D53" s="1">
        <v>0.02</v>
      </c>
    </row>
    <row r="54" spans="1:6" x14ac:dyDescent="0.3">
      <c r="A54" t="s">
        <v>163</v>
      </c>
      <c r="B54" t="s">
        <v>158</v>
      </c>
      <c r="C54" t="s">
        <v>164</v>
      </c>
      <c r="D54" s="1">
        <v>0.22</v>
      </c>
    </row>
    <row r="55" spans="1:6" x14ac:dyDescent="0.3">
      <c r="A55" t="s">
        <v>165</v>
      </c>
      <c r="B55" t="s">
        <v>166</v>
      </c>
      <c r="C55" t="s">
        <v>167</v>
      </c>
      <c r="D55" s="1">
        <v>0.03</v>
      </c>
    </row>
    <row r="56" spans="1:6" x14ac:dyDescent="0.3">
      <c r="A56" t="s">
        <v>168</v>
      </c>
      <c r="B56" t="s">
        <v>43</v>
      </c>
      <c r="C56" t="s">
        <v>169</v>
      </c>
      <c r="D56" s="1">
        <v>0.41</v>
      </c>
    </row>
    <row r="57" spans="1:6" x14ac:dyDescent="0.3">
      <c r="A57" t="s">
        <v>170</v>
      </c>
      <c r="B57" t="s">
        <v>171</v>
      </c>
      <c r="C57" t="s">
        <v>172</v>
      </c>
      <c r="D57" s="1">
        <v>0.45</v>
      </c>
    </row>
    <row r="58" spans="1:6" x14ac:dyDescent="0.3">
      <c r="A58" t="s">
        <v>173</v>
      </c>
      <c r="B58" t="s">
        <v>174</v>
      </c>
      <c r="C58" t="s">
        <v>169</v>
      </c>
      <c r="D58" s="1">
        <v>0.48</v>
      </c>
    </row>
    <row r="59" spans="1:6" x14ac:dyDescent="0.3">
      <c r="A59" t="s">
        <v>175</v>
      </c>
      <c r="B59" t="s">
        <v>43</v>
      </c>
      <c r="C59" t="s">
        <v>176</v>
      </c>
      <c r="D59" s="1">
        <v>0.49</v>
      </c>
    </row>
    <row r="60" spans="1:6" x14ac:dyDescent="0.3">
      <c r="A60" t="s">
        <v>177</v>
      </c>
      <c r="B60" t="s">
        <v>178</v>
      </c>
      <c r="C60" t="s">
        <v>179</v>
      </c>
      <c r="D60" s="1">
        <v>0.27</v>
      </c>
    </row>
    <row r="61" spans="1:6" x14ac:dyDescent="0.3">
      <c r="A61" t="s">
        <v>170</v>
      </c>
      <c r="B61" t="s">
        <v>180</v>
      </c>
      <c r="C61" t="s">
        <v>181</v>
      </c>
      <c r="D61" s="1">
        <v>0.55000000000000004</v>
      </c>
    </row>
    <row r="62" spans="1:6" x14ac:dyDescent="0.3">
      <c r="A62" t="s">
        <v>182</v>
      </c>
      <c r="B62" t="s">
        <v>183</v>
      </c>
      <c r="C62" t="s">
        <v>184</v>
      </c>
      <c r="D62" s="1">
        <v>0.13</v>
      </c>
      <c r="E62">
        <v>-6</v>
      </c>
      <c r="F62" t="s">
        <v>185</v>
      </c>
    </row>
    <row r="63" spans="1:6" x14ac:dyDescent="0.3">
      <c r="A63" t="s">
        <v>186</v>
      </c>
      <c r="B63" t="s">
        <v>187</v>
      </c>
      <c r="C63" t="s">
        <v>188</v>
      </c>
      <c r="D63" s="1">
        <v>0.54</v>
      </c>
      <c r="E63">
        <v>-10</v>
      </c>
      <c r="F63" t="s">
        <v>189</v>
      </c>
    </row>
    <row r="64" spans="1:6" x14ac:dyDescent="0.3">
      <c r="A64" t="s">
        <v>190</v>
      </c>
      <c r="B64" t="s">
        <v>191</v>
      </c>
      <c r="C64" t="s">
        <v>192</v>
      </c>
      <c r="D64" s="1">
        <v>0.55000000000000004</v>
      </c>
      <c r="E64">
        <v>-13</v>
      </c>
      <c r="F64" t="s">
        <v>193</v>
      </c>
    </row>
    <row r="65" spans="1:6" x14ac:dyDescent="0.3">
      <c r="A65" t="s">
        <v>194</v>
      </c>
      <c r="B65" t="s">
        <v>195</v>
      </c>
      <c r="C65" t="s">
        <v>196</v>
      </c>
      <c r="D65" s="1">
        <v>0.49</v>
      </c>
      <c r="E65">
        <v>-69</v>
      </c>
      <c r="F65" t="s">
        <v>197</v>
      </c>
    </row>
    <row r="66" spans="1:6" x14ac:dyDescent="0.3">
      <c r="A66" t="s">
        <v>198</v>
      </c>
      <c r="B66" t="s">
        <v>199</v>
      </c>
      <c r="C66" t="s">
        <v>200</v>
      </c>
      <c r="D66" s="1">
        <v>0.52</v>
      </c>
      <c r="E66">
        <v>-15</v>
      </c>
      <c r="F66" t="s">
        <v>201</v>
      </c>
    </row>
    <row r="67" spans="1:6" x14ac:dyDescent="0.3">
      <c r="A67" t="s">
        <v>202</v>
      </c>
      <c r="B67" t="s">
        <v>203</v>
      </c>
      <c r="C67" t="s">
        <v>204</v>
      </c>
      <c r="D67" s="1">
        <v>0.22</v>
      </c>
      <c r="E67">
        <v>-16</v>
      </c>
      <c r="F67" t="s">
        <v>205</v>
      </c>
    </row>
    <row r="68" spans="1:6" x14ac:dyDescent="0.3">
      <c r="A68" t="s">
        <v>206</v>
      </c>
      <c r="B68" t="s">
        <v>45</v>
      </c>
      <c r="C68" t="s">
        <v>207</v>
      </c>
      <c r="D68" s="1">
        <v>0.45</v>
      </c>
      <c r="E68">
        <v>-6</v>
      </c>
      <c r="F68" t="s">
        <v>208</v>
      </c>
    </row>
    <row r="69" spans="1:6" x14ac:dyDescent="0.3">
      <c r="A69" t="s">
        <v>209</v>
      </c>
      <c r="B69" t="s">
        <v>210</v>
      </c>
      <c r="C69" t="s">
        <v>144</v>
      </c>
      <c r="D69" s="1">
        <v>0.5</v>
      </c>
      <c r="E69">
        <v>-7</v>
      </c>
      <c r="F69" t="s">
        <v>211</v>
      </c>
    </row>
    <row r="70" spans="1:6" x14ac:dyDescent="0.3">
      <c r="A70" t="s">
        <v>212</v>
      </c>
      <c r="B70" t="s">
        <v>213</v>
      </c>
      <c r="C70" t="s">
        <v>214</v>
      </c>
      <c r="D70" s="1">
        <v>0.39</v>
      </c>
      <c r="E70">
        <v>-5</v>
      </c>
      <c r="F70" t="s">
        <v>189</v>
      </c>
    </row>
    <row r="71" spans="1:6" x14ac:dyDescent="0.3">
      <c r="A71" t="s">
        <v>215</v>
      </c>
      <c r="B71" t="s">
        <v>104</v>
      </c>
      <c r="C71" t="s">
        <v>216</v>
      </c>
      <c r="D71" s="1">
        <v>0.45</v>
      </c>
      <c r="E71">
        <v>-17</v>
      </c>
      <c r="F71" t="s">
        <v>217</v>
      </c>
    </row>
    <row r="72" spans="1:6" x14ac:dyDescent="0.3">
      <c r="A72" t="s">
        <v>218</v>
      </c>
      <c r="B72" t="s">
        <v>219</v>
      </c>
      <c r="C72" t="s">
        <v>220</v>
      </c>
      <c r="D72" s="1">
        <v>0.28999999999999998</v>
      </c>
      <c r="E72">
        <v>-5</v>
      </c>
      <c r="F72" t="s">
        <v>189</v>
      </c>
    </row>
    <row r="73" spans="1:6" x14ac:dyDescent="0.3">
      <c r="A73" t="s">
        <v>221</v>
      </c>
      <c r="B73" t="s">
        <v>222</v>
      </c>
      <c r="C73" t="s">
        <v>223</v>
      </c>
      <c r="D73" s="1">
        <v>0.43</v>
      </c>
      <c r="E73">
        <v>-6</v>
      </c>
      <c r="F73" t="s">
        <v>211</v>
      </c>
    </row>
    <row r="74" spans="1:6" x14ac:dyDescent="0.3">
      <c r="A74" t="s">
        <v>224</v>
      </c>
      <c r="B74" t="s">
        <v>225</v>
      </c>
      <c r="C74" t="s">
        <v>226</v>
      </c>
      <c r="D74" s="1">
        <v>0.43</v>
      </c>
      <c r="E74">
        <v>-5</v>
      </c>
      <c r="F74" t="s">
        <v>189</v>
      </c>
    </row>
    <row r="75" spans="1:6" x14ac:dyDescent="0.3">
      <c r="A75" t="s">
        <v>227</v>
      </c>
      <c r="B75" t="s">
        <v>228</v>
      </c>
      <c r="C75" t="s">
        <v>207</v>
      </c>
      <c r="D75" s="1">
        <v>0.47</v>
      </c>
      <c r="E75">
        <v>-6</v>
      </c>
      <c r="F75" t="s">
        <v>208</v>
      </c>
    </row>
    <row r="76" spans="1:6" x14ac:dyDescent="0.3">
      <c r="A76" t="s">
        <v>229</v>
      </c>
      <c r="B76" t="s">
        <v>230</v>
      </c>
      <c r="C76" t="s">
        <v>231</v>
      </c>
      <c r="D76" s="1">
        <v>0.47</v>
      </c>
      <c r="E76">
        <v>-7</v>
      </c>
      <c r="F76" t="s">
        <v>193</v>
      </c>
    </row>
    <row r="77" spans="1:6" x14ac:dyDescent="0.3">
      <c r="A77" t="s">
        <v>232</v>
      </c>
      <c r="B77" t="s">
        <v>233</v>
      </c>
      <c r="C77" t="s">
        <v>234</v>
      </c>
      <c r="D77" s="1">
        <v>0.47</v>
      </c>
    </row>
    <row r="78" spans="1:6" x14ac:dyDescent="0.3">
      <c r="A78" t="s">
        <v>235</v>
      </c>
      <c r="B78" t="s">
        <v>236</v>
      </c>
      <c r="C78" t="s">
        <v>152</v>
      </c>
      <c r="D78" s="1">
        <v>0.43</v>
      </c>
    </row>
    <row r="79" spans="1:6" x14ac:dyDescent="0.3">
      <c r="A79" t="s">
        <v>237</v>
      </c>
      <c r="B79" t="s">
        <v>238</v>
      </c>
      <c r="C79" t="s">
        <v>239</v>
      </c>
      <c r="D79" s="1">
        <v>0.04</v>
      </c>
    </row>
    <row r="80" spans="1:6" x14ac:dyDescent="0.3">
      <c r="A80" t="s">
        <v>240</v>
      </c>
      <c r="B80" t="s">
        <v>241</v>
      </c>
      <c r="C80" t="s">
        <v>242</v>
      </c>
      <c r="D80" s="1">
        <v>0.49</v>
      </c>
    </row>
    <row r="81" spans="1:6" x14ac:dyDescent="0.3">
      <c r="A81" t="s">
        <v>243</v>
      </c>
      <c r="B81" t="s">
        <v>244</v>
      </c>
      <c r="C81" t="s">
        <v>15</v>
      </c>
      <c r="D81" s="1">
        <v>0.46</v>
      </c>
      <c r="E81">
        <v>-1</v>
      </c>
      <c r="F81" t="s">
        <v>189</v>
      </c>
    </row>
    <row r="82" spans="1:6" x14ac:dyDescent="0.3">
      <c r="A82" t="s">
        <v>245</v>
      </c>
      <c r="B82" t="s">
        <v>246</v>
      </c>
      <c r="C82" t="s">
        <v>247</v>
      </c>
      <c r="D82" s="1">
        <v>0.49</v>
      </c>
      <c r="E82">
        <v>-1</v>
      </c>
      <c r="F82" t="s">
        <v>59</v>
      </c>
    </row>
    <row r="83" spans="1:6" x14ac:dyDescent="0.3">
      <c r="A83" t="s">
        <v>248</v>
      </c>
      <c r="B83" t="s">
        <v>249</v>
      </c>
      <c r="C83" t="s">
        <v>250</v>
      </c>
      <c r="D83" s="1">
        <v>0.36</v>
      </c>
    </row>
    <row r="84" spans="1:6" x14ac:dyDescent="0.3">
      <c r="A84" t="s">
        <v>251</v>
      </c>
      <c r="B84" t="s">
        <v>252</v>
      </c>
      <c r="C84" t="s">
        <v>162</v>
      </c>
      <c r="D84" s="1">
        <v>0.02</v>
      </c>
    </row>
    <row r="85" spans="1:6" x14ac:dyDescent="0.3">
      <c r="A85" t="s">
        <v>253</v>
      </c>
      <c r="B85" t="s">
        <v>254</v>
      </c>
      <c r="C85" t="s">
        <v>91</v>
      </c>
      <c r="D85" s="1">
        <v>0.49</v>
      </c>
      <c r="E85">
        <v>-1</v>
      </c>
      <c r="F85" t="s">
        <v>29</v>
      </c>
    </row>
    <row r="86" spans="1:6" x14ac:dyDescent="0.3">
      <c r="A86" t="s">
        <v>137</v>
      </c>
      <c r="B86" t="s">
        <v>138</v>
      </c>
      <c r="C86" t="s">
        <v>139</v>
      </c>
      <c r="D86" s="1">
        <v>0.42</v>
      </c>
    </row>
    <row r="87" spans="1:6" x14ac:dyDescent="0.3">
      <c r="A87" t="s">
        <v>154</v>
      </c>
      <c r="B87" t="s">
        <v>255</v>
      </c>
      <c r="C87" t="s">
        <v>222</v>
      </c>
      <c r="D87" s="1">
        <v>0.49</v>
      </c>
    </row>
    <row r="88" spans="1:6" x14ac:dyDescent="0.3">
      <c r="A88" t="s">
        <v>256</v>
      </c>
      <c r="B88" t="s">
        <v>257</v>
      </c>
      <c r="C88" t="s">
        <v>162</v>
      </c>
      <c r="D88" s="1">
        <v>0.14000000000000001</v>
      </c>
    </row>
    <row r="89" spans="1:6" x14ac:dyDescent="0.3">
      <c r="A89" t="s">
        <v>258</v>
      </c>
      <c r="B89" t="s">
        <v>259</v>
      </c>
      <c r="C89" t="s">
        <v>260</v>
      </c>
      <c r="D89" s="1">
        <v>0.49</v>
      </c>
    </row>
    <row r="90" spans="1:6" x14ac:dyDescent="0.3">
      <c r="A90" t="s">
        <v>261</v>
      </c>
      <c r="B90" t="s">
        <v>43</v>
      </c>
      <c r="C90" t="s">
        <v>172</v>
      </c>
      <c r="D90" s="1">
        <v>0.11</v>
      </c>
    </row>
    <row r="91" spans="1:6" x14ac:dyDescent="0.3">
      <c r="A91" t="s">
        <v>175</v>
      </c>
      <c r="B91" t="s">
        <v>262</v>
      </c>
      <c r="C91" t="s">
        <v>263</v>
      </c>
      <c r="D91" s="1">
        <v>0.49</v>
      </c>
    </row>
    <row r="92" spans="1:6" x14ac:dyDescent="0.3">
      <c r="A92" t="s">
        <v>264</v>
      </c>
      <c r="B92" t="s">
        <v>265</v>
      </c>
      <c r="C92" t="s">
        <v>162</v>
      </c>
      <c r="D92" s="1">
        <v>0.14000000000000001</v>
      </c>
    </row>
    <row r="93" spans="1:6" x14ac:dyDescent="0.3">
      <c r="A93" t="s">
        <v>266</v>
      </c>
      <c r="B93" t="s">
        <v>267</v>
      </c>
      <c r="C93" t="s">
        <v>268</v>
      </c>
      <c r="D93" s="1">
        <v>0.43</v>
      </c>
    </row>
    <row r="94" spans="1:6" x14ac:dyDescent="0.3">
      <c r="A94" t="s">
        <v>269</v>
      </c>
      <c r="B94" t="s">
        <v>270</v>
      </c>
      <c r="C94" t="s">
        <v>271</v>
      </c>
      <c r="D94" s="1">
        <v>0.5</v>
      </c>
    </row>
    <row r="95" spans="1:6" x14ac:dyDescent="0.3">
      <c r="A95" t="s">
        <v>272</v>
      </c>
      <c r="B95" t="s">
        <v>273</v>
      </c>
      <c r="C95" t="s">
        <v>184</v>
      </c>
      <c r="D95" s="1">
        <v>0.48</v>
      </c>
    </row>
    <row r="96" spans="1:6" x14ac:dyDescent="0.3">
      <c r="A96" t="s">
        <v>274</v>
      </c>
      <c r="B96" t="s">
        <v>275</v>
      </c>
      <c r="C96" t="s">
        <v>276</v>
      </c>
      <c r="D96" s="1">
        <v>0.48</v>
      </c>
    </row>
    <row r="97" spans="1:6" x14ac:dyDescent="0.3">
      <c r="A97" t="s">
        <v>277</v>
      </c>
      <c r="B97" t="s">
        <v>226</v>
      </c>
      <c r="C97" t="s">
        <v>162</v>
      </c>
      <c r="D97" s="1">
        <v>0.47</v>
      </c>
    </row>
    <row r="98" spans="1:6" x14ac:dyDescent="0.3">
      <c r="A98" t="s">
        <v>277</v>
      </c>
      <c r="B98" t="s">
        <v>226</v>
      </c>
      <c r="C98" t="s">
        <v>162</v>
      </c>
      <c r="D98" s="1">
        <v>0.47</v>
      </c>
    </row>
    <row r="99" spans="1:6" x14ac:dyDescent="0.3">
      <c r="A99" t="s">
        <v>278</v>
      </c>
      <c r="B99" t="s">
        <v>152</v>
      </c>
      <c r="C99" t="s">
        <v>279</v>
      </c>
      <c r="D99" s="1">
        <v>0.5</v>
      </c>
    </row>
    <row r="100" spans="1:6" x14ac:dyDescent="0.3">
      <c r="A100" t="s">
        <v>280</v>
      </c>
      <c r="B100" t="s">
        <v>281</v>
      </c>
      <c r="C100" t="s">
        <v>161</v>
      </c>
      <c r="D100" s="1">
        <v>0.08</v>
      </c>
    </row>
    <row r="101" spans="1:6" x14ac:dyDescent="0.3">
      <c r="A101" t="s">
        <v>282</v>
      </c>
      <c r="B101" t="s">
        <v>283</v>
      </c>
      <c r="C101" t="s">
        <v>167</v>
      </c>
      <c r="D101" s="1">
        <v>0.02</v>
      </c>
    </row>
    <row r="102" spans="1:6" x14ac:dyDescent="0.3">
      <c r="A102" t="s">
        <v>284</v>
      </c>
      <c r="B102" t="s">
        <v>285</v>
      </c>
      <c r="C102" t="s">
        <v>286</v>
      </c>
      <c r="D102" s="1">
        <v>0.49</v>
      </c>
    </row>
    <row r="103" spans="1:6" x14ac:dyDescent="0.3">
      <c r="A103" t="s">
        <v>287</v>
      </c>
      <c r="B103" t="s">
        <v>288</v>
      </c>
      <c r="C103" t="s">
        <v>67</v>
      </c>
      <c r="D103" s="1">
        <v>0.04</v>
      </c>
    </row>
    <row r="104" spans="1:6" x14ac:dyDescent="0.3">
      <c r="A104" t="s">
        <v>289</v>
      </c>
      <c r="B104" t="s">
        <v>290</v>
      </c>
      <c r="C104" t="s">
        <v>291</v>
      </c>
      <c r="D104" s="1">
        <v>0.49</v>
      </c>
    </row>
    <row r="105" spans="1:6" x14ac:dyDescent="0.3">
      <c r="A105" t="s">
        <v>292</v>
      </c>
      <c r="B105" t="s">
        <v>293</v>
      </c>
      <c r="C105" t="s">
        <v>294</v>
      </c>
      <c r="D105" s="1">
        <v>0.42</v>
      </c>
    </row>
    <row r="106" spans="1:6" x14ac:dyDescent="0.3">
      <c r="A106" t="s">
        <v>295</v>
      </c>
      <c r="B106" t="s">
        <v>296</v>
      </c>
      <c r="C106" t="s">
        <v>297</v>
      </c>
      <c r="D106" s="1">
        <v>0.21</v>
      </c>
      <c r="E106">
        <v>-1</v>
      </c>
      <c r="F106" t="s">
        <v>59</v>
      </c>
    </row>
    <row r="107" spans="1:6" x14ac:dyDescent="0.3">
      <c r="A107" t="s">
        <v>298</v>
      </c>
      <c r="B107" t="s">
        <v>299</v>
      </c>
      <c r="C107" t="s">
        <v>300</v>
      </c>
      <c r="D107" s="1">
        <v>0.41</v>
      </c>
    </row>
    <row r="108" spans="1:6" x14ac:dyDescent="0.3">
      <c r="A108" t="s">
        <v>301</v>
      </c>
      <c r="B108" t="s">
        <v>302</v>
      </c>
      <c r="C108" t="s">
        <v>303</v>
      </c>
      <c r="D108" s="1">
        <v>0.01</v>
      </c>
    </row>
    <row r="109" spans="1:6" x14ac:dyDescent="0.3">
      <c r="A109" t="s">
        <v>304</v>
      </c>
      <c r="B109" t="s">
        <v>305</v>
      </c>
      <c r="C109" t="s">
        <v>306</v>
      </c>
      <c r="D109" s="1">
        <v>0.24</v>
      </c>
    </row>
    <row r="110" spans="1:6" x14ac:dyDescent="0.3">
      <c r="A110" t="s">
        <v>307</v>
      </c>
      <c r="B110" t="s">
        <v>308</v>
      </c>
      <c r="C110" t="s">
        <v>309</v>
      </c>
      <c r="D110" s="1">
        <v>0.34</v>
      </c>
    </row>
    <row r="111" spans="1:6" x14ac:dyDescent="0.3">
      <c r="A111" t="s">
        <v>310</v>
      </c>
      <c r="B111" t="s">
        <v>146</v>
      </c>
      <c r="C111" t="s">
        <v>311</v>
      </c>
      <c r="D111" s="1">
        <v>0.34</v>
      </c>
    </row>
    <row r="112" spans="1:6" x14ac:dyDescent="0.3">
      <c r="A112" t="s">
        <v>312</v>
      </c>
      <c r="B112" t="s">
        <v>313</v>
      </c>
      <c r="C112" t="s">
        <v>162</v>
      </c>
      <c r="D112" s="1">
        <v>0.02</v>
      </c>
    </row>
    <row r="113" spans="1:6" x14ac:dyDescent="0.3">
      <c r="A113" t="s">
        <v>314</v>
      </c>
      <c r="B113" t="s">
        <v>315</v>
      </c>
      <c r="C113" t="s">
        <v>239</v>
      </c>
      <c r="D113" s="1">
        <v>0.02</v>
      </c>
    </row>
    <row r="114" spans="1:6" x14ac:dyDescent="0.3">
      <c r="A114" t="s">
        <v>316</v>
      </c>
      <c r="B114" t="s">
        <v>155</v>
      </c>
      <c r="C114" t="s">
        <v>317</v>
      </c>
      <c r="D114" s="1">
        <v>0.64</v>
      </c>
    </row>
    <row r="115" spans="1:6" x14ac:dyDescent="0.3">
      <c r="A115" t="s">
        <v>318</v>
      </c>
      <c r="B115" t="s">
        <v>242</v>
      </c>
      <c r="C115" t="s">
        <v>172</v>
      </c>
      <c r="D115" s="1">
        <v>0.5</v>
      </c>
      <c r="E115">
        <v>-1</v>
      </c>
      <c r="F115" t="s">
        <v>319</v>
      </c>
    </row>
    <row r="116" spans="1:6" x14ac:dyDescent="0.3">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2F716-5559-4D17-9C44-48DDD523F9F4}">
  <dimension ref="A1:L116"/>
  <sheetViews>
    <sheetView workbookViewId="0">
      <selection activeCell="L2" sqref="L2"/>
    </sheetView>
  </sheetViews>
  <sheetFormatPr defaultRowHeight="15.05" x14ac:dyDescent="0.3"/>
  <cols>
    <col min="1" max="1" width="86.21875" customWidth="1"/>
    <col min="2" max="2" width="18.33203125" style="2" customWidth="1"/>
    <col min="3" max="3" width="14.77734375" style="2" customWidth="1"/>
    <col min="4" max="4" width="10.109375" style="3" customWidth="1"/>
    <col min="5" max="5" width="8.88671875" style="4"/>
    <col min="7" max="7" width="16.21875" customWidth="1"/>
    <col min="8" max="8" width="18.21875" bestFit="1" customWidth="1"/>
    <col min="9" max="9" width="17.33203125" bestFit="1" customWidth="1"/>
    <col min="10" max="10" width="16.21875" bestFit="1" customWidth="1"/>
    <col min="11" max="11" width="13.5546875" customWidth="1"/>
    <col min="12" max="12" width="18.6640625" customWidth="1"/>
  </cols>
  <sheetData>
    <row r="1" spans="1:12" x14ac:dyDescent="0.3">
      <c r="A1" s="36" t="s">
        <v>0</v>
      </c>
      <c r="B1" s="37" t="s">
        <v>368</v>
      </c>
      <c r="C1" s="37" t="s">
        <v>369</v>
      </c>
      <c r="D1" s="38" t="s">
        <v>3</v>
      </c>
      <c r="E1" s="39" t="s">
        <v>4</v>
      </c>
      <c r="F1" s="40" t="s">
        <v>370</v>
      </c>
      <c r="G1" s="41" t="s">
        <v>372</v>
      </c>
      <c r="H1" s="41" t="s">
        <v>373</v>
      </c>
      <c r="I1" s="41" t="s">
        <v>374</v>
      </c>
      <c r="J1" s="41" t="s">
        <v>387</v>
      </c>
      <c r="K1" s="41" t="s">
        <v>392</v>
      </c>
      <c r="L1" s="42" t="s">
        <v>393</v>
      </c>
    </row>
    <row r="2" spans="1:12" x14ac:dyDescent="0.3">
      <c r="A2" s="29" t="s">
        <v>323</v>
      </c>
      <c r="B2" s="43">
        <v>950</v>
      </c>
      <c r="C2" s="43">
        <v>1525</v>
      </c>
      <c r="D2" s="44">
        <v>0.38</v>
      </c>
      <c r="E2" s="45">
        <v>2</v>
      </c>
      <c r="F2" s="30">
        <v>4.5</v>
      </c>
      <c r="G2" s="30" t="str">
        <f>IF(tblProducts[[#This Row],[Rating]]="","Missing",IF(tblProducts[[#This Row],[Rating]]&lt;3,"Poor",IF(tblProducts[[#This Row],[Rating]]&lt;=4.5,"Average","Excellent")))</f>
        <v>Average</v>
      </c>
      <c r="H2" s="30" t="str">
        <f>IF(tblProducts[[#This Row],[Discount]]="","Missing",IF(tblProducts[[#This Row],[Discount]]&lt;20%,"Low Discount",IF(tblProducts[[#This Row],[Discount]]&lt;=40%,"Medium Discount","High Discount")))</f>
        <v>Medium Discount</v>
      </c>
      <c r="I2" s="43">
        <f>tblProducts[[#This Row],[old price (Ksh)]]-tblProducts[[#This Row],[Current price (Ksh)]]</f>
        <v>575</v>
      </c>
      <c r="J2" s="30">
        <f>IF(tblProducts[[#This Row],[Rating]]="","",tblProducts[[#This Row],[Rating]]+tblProducts[[#This Row],[Review]]/1000000+ROW()/100000000)</f>
        <v>4.5000020200000002</v>
      </c>
      <c r="K2" s="30">
        <f>IF(tblProducts[[#This Row],[Review]]="","",tblProducts[[#This Row],[Review]]+tblProducts[[#This Row],[Rating]]/1000)</f>
        <v>2.0045000000000002</v>
      </c>
      <c r="L2" s="31">
        <f>IF(tblProducts[[#This Row],[Discount]]="","",tblProducts[[#This Row],[Discount]]+tblProducts[[#This Row],[Review]]/1000000)</f>
        <v>0.38000200000000001</v>
      </c>
    </row>
    <row r="3" spans="1:12" x14ac:dyDescent="0.3">
      <c r="A3" s="29" t="s">
        <v>10</v>
      </c>
      <c r="B3" s="43">
        <v>527</v>
      </c>
      <c r="C3" s="43">
        <v>999</v>
      </c>
      <c r="D3" s="44">
        <v>0.47</v>
      </c>
      <c r="E3" s="45">
        <v>14</v>
      </c>
      <c r="F3" s="30">
        <v>4.0999999999999996</v>
      </c>
      <c r="G3" s="30" t="str">
        <f>IF(tblProducts[[#This Row],[Rating]]="","Missing",IF(tblProducts[[#This Row],[Rating]]&lt;3,"Poor",IF(tblProducts[[#This Row],[Rating]]&lt;=4.5,"Average","Excellent")))</f>
        <v>Average</v>
      </c>
      <c r="H3" s="30" t="str">
        <f>IF(tblProducts[[#This Row],[Discount]]="","Missing",IF(tblProducts[[#This Row],[Discount]]&lt;20%,"Low Discount",IF(tblProducts[[#This Row],[Discount]]&lt;=40%,"Medium Discount","High Discount")))</f>
        <v>High Discount</v>
      </c>
      <c r="I3" s="43">
        <f>tblProducts[[#This Row],[old price (Ksh)]]-tblProducts[[#This Row],[Current price (Ksh)]]</f>
        <v>472</v>
      </c>
      <c r="J3" s="30">
        <f>IF(tblProducts[[#This Row],[Rating]]="","",tblProducts[[#This Row],[Rating]]+tblProducts[[#This Row],[Review]]/1000000+ROW()/100000000)</f>
        <v>4.1000140299999996</v>
      </c>
      <c r="K3" s="30">
        <f>IF(tblProducts[[#This Row],[Review]]="","",tblProducts[[#This Row],[Review]]+tblProducts[[#This Row],[Rating]]/1000)</f>
        <v>14.004099999999999</v>
      </c>
      <c r="L3" s="31">
        <f>IF(tblProducts[[#This Row],[Discount]]="","",tblProducts[[#This Row],[Discount]]+tblProducts[[#This Row],[Review]]/1000000)</f>
        <v>0.47001399999999999</v>
      </c>
    </row>
    <row r="4" spans="1:12" x14ac:dyDescent="0.3">
      <c r="A4" s="29" t="s">
        <v>14</v>
      </c>
      <c r="B4" s="43">
        <v>2199</v>
      </c>
      <c r="C4" s="43">
        <v>2923</v>
      </c>
      <c r="D4" s="44">
        <v>0.25</v>
      </c>
      <c r="E4" s="45">
        <v>24</v>
      </c>
      <c r="F4" s="30">
        <v>4.5999999999999996</v>
      </c>
      <c r="G4" s="30" t="str">
        <f>IF(tblProducts[[#This Row],[Rating]]="","Missing",IF(tblProducts[[#This Row],[Rating]]&lt;3,"Poor",IF(tblProducts[[#This Row],[Rating]]&lt;=4.5,"Average","Excellent")))</f>
        <v>Excellent</v>
      </c>
      <c r="H4" s="30" t="str">
        <f>IF(tblProducts[[#This Row],[Discount]]="","Missing",IF(tblProducts[[#This Row],[Discount]]&lt;20%,"Low Discount",IF(tblProducts[[#This Row],[Discount]]&lt;=40%,"Medium Discount","High Discount")))</f>
        <v>Medium Discount</v>
      </c>
      <c r="I4" s="43">
        <f>tblProducts[[#This Row],[old price (Ksh)]]-tblProducts[[#This Row],[Current price (Ksh)]]</f>
        <v>724</v>
      </c>
      <c r="J4" s="30">
        <f>IF(tblProducts[[#This Row],[Rating]]="","",tblProducts[[#This Row],[Rating]]+tblProducts[[#This Row],[Review]]/1000000+ROW()/100000000)</f>
        <v>4.6000240399999992</v>
      </c>
      <c r="K4" s="30">
        <f>IF(tblProducts[[#This Row],[Review]]="","",tblProducts[[#This Row],[Review]]+tblProducts[[#This Row],[Rating]]/1000)</f>
        <v>24.0046</v>
      </c>
      <c r="L4" s="31">
        <f>IF(tblProducts[[#This Row],[Discount]]="","",tblProducts[[#This Row],[Discount]]+tblProducts[[#This Row],[Review]]/1000000)</f>
        <v>0.25002400000000002</v>
      </c>
    </row>
    <row r="5" spans="1:12" x14ac:dyDescent="0.3">
      <c r="A5" s="29" t="s">
        <v>18</v>
      </c>
      <c r="B5" s="43">
        <v>1580</v>
      </c>
      <c r="C5" s="43">
        <v>2499</v>
      </c>
      <c r="D5" s="44">
        <v>0.37</v>
      </c>
      <c r="E5" s="45">
        <v>7</v>
      </c>
      <c r="F5" s="30">
        <v>4.7</v>
      </c>
      <c r="G5" s="30" t="str">
        <f>IF(tblProducts[[#This Row],[Rating]]="","Missing",IF(tblProducts[[#This Row],[Rating]]&lt;3,"Poor",IF(tblProducts[[#This Row],[Rating]]&lt;=4.5,"Average","Excellent")))</f>
        <v>Excellent</v>
      </c>
      <c r="H5" s="30" t="str">
        <f>IF(tblProducts[[#This Row],[Discount]]="","Missing",IF(tblProducts[[#This Row],[Discount]]&lt;20%,"Low Discount",IF(tblProducts[[#This Row],[Discount]]&lt;=40%,"Medium Discount","High Discount")))</f>
        <v>Medium Discount</v>
      </c>
      <c r="I5" s="43">
        <f>tblProducts[[#This Row],[old price (Ksh)]]-tblProducts[[#This Row],[Current price (Ksh)]]</f>
        <v>919</v>
      </c>
      <c r="J5" s="30">
        <f>IF(tblProducts[[#This Row],[Rating]]="","",tblProducts[[#This Row],[Rating]]+tblProducts[[#This Row],[Review]]/1000000+ROW()/100000000)</f>
        <v>4.70000705</v>
      </c>
      <c r="K5" s="30">
        <f>IF(tblProducts[[#This Row],[Review]]="","",tblProducts[[#This Row],[Review]]+tblProducts[[#This Row],[Rating]]/1000)</f>
        <v>7.0046999999999997</v>
      </c>
      <c r="L5" s="31">
        <f>IF(tblProducts[[#This Row],[Discount]]="","",tblProducts[[#This Row],[Discount]]+tblProducts[[#This Row],[Review]]/1000000)</f>
        <v>0.37000699999999997</v>
      </c>
    </row>
    <row r="6" spans="1:12" x14ac:dyDescent="0.3">
      <c r="A6" s="29" t="s">
        <v>22</v>
      </c>
      <c r="B6" s="43">
        <v>1740</v>
      </c>
      <c r="C6" s="43">
        <v>2356</v>
      </c>
      <c r="D6" s="44">
        <v>0.26</v>
      </c>
      <c r="E6" s="45">
        <v>5</v>
      </c>
      <c r="F6" s="30">
        <v>4.8</v>
      </c>
      <c r="G6" s="30" t="str">
        <f>IF(tblProducts[[#This Row],[Rating]]="","Missing",IF(tblProducts[[#This Row],[Rating]]&lt;3,"Poor",IF(tblProducts[[#This Row],[Rating]]&lt;=4.5,"Average","Excellent")))</f>
        <v>Excellent</v>
      </c>
      <c r="H6" s="30" t="str">
        <f>IF(tblProducts[[#This Row],[Discount]]="","Missing",IF(tblProducts[[#This Row],[Discount]]&lt;20%,"Low Discount",IF(tblProducts[[#This Row],[Discount]]&lt;=40%,"Medium Discount","High Discount")))</f>
        <v>Medium Discount</v>
      </c>
      <c r="I6" s="43">
        <f>tblProducts[[#This Row],[old price (Ksh)]]-tblProducts[[#This Row],[Current price (Ksh)]]</f>
        <v>616</v>
      </c>
      <c r="J6" s="30">
        <f>IF(tblProducts[[#This Row],[Rating]]="","",tblProducts[[#This Row],[Rating]]+tblProducts[[#This Row],[Review]]/1000000+ROW()/100000000)</f>
        <v>4.8000050599999993</v>
      </c>
      <c r="K6" s="30">
        <f>IF(tblProducts[[#This Row],[Review]]="","",tblProducts[[#This Row],[Review]]+tblProducts[[#This Row],[Rating]]/1000)</f>
        <v>5.0048000000000004</v>
      </c>
      <c r="L6" s="31">
        <f>IF(tblProducts[[#This Row],[Discount]]="","",tblProducts[[#This Row],[Discount]]+tblProducts[[#This Row],[Review]]/1000000)</f>
        <v>0.26000499999999999</v>
      </c>
    </row>
    <row r="7" spans="1:12" x14ac:dyDescent="0.3">
      <c r="A7" s="29" t="s">
        <v>26</v>
      </c>
      <c r="B7" s="43">
        <v>2999</v>
      </c>
      <c r="C7" s="43">
        <v>3290</v>
      </c>
      <c r="D7" s="44">
        <v>0.09</v>
      </c>
      <c r="E7" s="45">
        <v>15</v>
      </c>
      <c r="F7" s="30">
        <v>4</v>
      </c>
      <c r="G7" s="30" t="str">
        <f>IF(tblProducts[[#This Row],[Rating]]="","Missing",IF(tblProducts[[#This Row],[Rating]]&lt;3,"Poor",IF(tblProducts[[#This Row],[Rating]]&lt;=4.5,"Average","Excellent")))</f>
        <v>Average</v>
      </c>
      <c r="H7" s="30" t="str">
        <f>IF(tblProducts[[#This Row],[Discount]]="","Missing",IF(tblProducts[[#This Row],[Discount]]&lt;20%,"Low Discount",IF(tblProducts[[#This Row],[Discount]]&lt;=40%,"Medium Discount","High Discount")))</f>
        <v>Low Discount</v>
      </c>
      <c r="I7" s="43">
        <f>tblProducts[[#This Row],[old price (Ksh)]]-tblProducts[[#This Row],[Current price (Ksh)]]</f>
        <v>291</v>
      </c>
      <c r="J7" s="30">
        <f>IF(tblProducts[[#This Row],[Rating]]="","",tblProducts[[#This Row],[Rating]]+tblProducts[[#This Row],[Review]]/1000000+ROW()/100000000)</f>
        <v>4.0000150699999999</v>
      </c>
      <c r="K7" s="30">
        <f>IF(tblProducts[[#This Row],[Review]]="","",tblProducts[[#This Row],[Review]]+tblProducts[[#This Row],[Rating]]/1000)</f>
        <v>15.004</v>
      </c>
      <c r="L7" s="31">
        <f>IF(tblProducts[[#This Row],[Discount]]="","",tblProducts[[#This Row],[Discount]]+tblProducts[[#This Row],[Review]]/1000000)</f>
        <v>9.0014999999999998E-2</v>
      </c>
    </row>
    <row r="8" spans="1:12" x14ac:dyDescent="0.3">
      <c r="A8" s="29" t="s">
        <v>30</v>
      </c>
      <c r="B8" s="43">
        <v>2319</v>
      </c>
      <c r="C8" s="43">
        <v>3032</v>
      </c>
      <c r="D8" s="44">
        <v>0.24</v>
      </c>
      <c r="E8" s="45">
        <v>55</v>
      </c>
      <c r="F8" s="30">
        <v>4.5999999999999996</v>
      </c>
      <c r="G8" s="30" t="str">
        <f>IF(tblProducts[[#This Row],[Rating]]="","Missing",IF(tblProducts[[#This Row],[Rating]]&lt;3,"Poor",IF(tblProducts[[#This Row],[Rating]]&lt;=4.5,"Average","Excellent")))</f>
        <v>Excellent</v>
      </c>
      <c r="H8" s="30" t="str">
        <f>IF(tblProducts[[#This Row],[Discount]]="","Missing",IF(tblProducts[[#This Row],[Discount]]&lt;20%,"Low Discount",IF(tblProducts[[#This Row],[Discount]]&lt;=40%,"Medium Discount","High Discount")))</f>
        <v>Medium Discount</v>
      </c>
      <c r="I8" s="43">
        <f>tblProducts[[#This Row],[old price (Ksh)]]-tblProducts[[#This Row],[Current price (Ksh)]]</f>
        <v>713</v>
      </c>
      <c r="J8" s="30">
        <f>IF(tblProducts[[#This Row],[Rating]]="","",tblProducts[[#This Row],[Rating]]+tblProducts[[#This Row],[Review]]/1000000+ROW()/100000000)</f>
        <v>4.6000550799999997</v>
      </c>
      <c r="K8" s="30">
        <f>IF(tblProducts[[#This Row],[Review]]="","",tblProducts[[#This Row],[Review]]+tblProducts[[#This Row],[Rating]]/1000)</f>
        <v>55.004600000000003</v>
      </c>
      <c r="L8" s="31">
        <f>IF(tblProducts[[#This Row],[Discount]]="","",tblProducts[[#This Row],[Discount]]+tblProducts[[#This Row],[Review]]/1000000)</f>
        <v>0.24005499999999999</v>
      </c>
    </row>
    <row r="9" spans="1:12" x14ac:dyDescent="0.3">
      <c r="A9" s="29" t="s">
        <v>356</v>
      </c>
      <c r="B9" s="43">
        <v>988</v>
      </c>
      <c r="C9" s="43">
        <v>1580</v>
      </c>
      <c r="D9" s="44">
        <v>0.37</v>
      </c>
      <c r="E9" s="45">
        <v>2</v>
      </c>
      <c r="F9" s="30">
        <v>4</v>
      </c>
      <c r="G9" s="30" t="str">
        <f>IF(tblProducts[[#This Row],[Rating]]="","Missing",IF(tblProducts[[#This Row],[Rating]]&lt;3,"Poor",IF(tblProducts[[#This Row],[Rating]]&lt;=4.5,"Average","Excellent")))</f>
        <v>Average</v>
      </c>
      <c r="H9" s="30" t="str">
        <f>IF(tblProducts[[#This Row],[Discount]]="","Missing",IF(tblProducts[[#This Row],[Discount]]&lt;20%,"Low Discount",IF(tblProducts[[#This Row],[Discount]]&lt;=40%,"Medium Discount","High Discount")))</f>
        <v>Medium Discount</v>
      </c>
      <c r="I9" s="43">
        <f>tblProducts[[#This Row],[old price (Ksh)]]-tblProducts[[#This Row],[Current price (Ksh)]]</f>
        <v>592</v>
      </c>
      <c r="J9" s="30">
        <f>IF(tblProducts[[#This Row],[Rating]]="","",tblProducts[[#This Row],[Rating]]+tblProducts[[#This Row],[Review]]/1000000+ROW()/100000000)</f>
        <v>4.0000020900000006</v>
      </c>
      <c r="K9" s="30">
        <f>IF(tblProducts[[#This Row],[Review]]="","",tblProducts[[#This Row],[Review]]+tblProducts[[#This Row],[Rating]]/1000)</f>
        <v>2.004</v>
      </c>
      <c r="L9" s="31">
        <f>IF(tblProducts[[#This Row],[Discount]]="","",tblProducts[[#This Row],[Discount]]+tblProducts[[#This Row],[Review]]/1000000)</f>
        <v>0.370002</v>
      </c>
    </row>
    <row r="10" spans="1:12" x14ac:dyDescent="0.3">
      <c r="A10" s="29" t="s">
        <v>324</v>
      </c>
      <c r="B10" s="43">
        <v>1274</v>
      </c>
      <c r="C10" s="43">
        <v>2800</v>
      </c>
      <c r="D10" s="44">
        <v>0.55000000000000004</v>
      </c>
      <c r="E10" s="45">
        <v>5</v>
      </c>
      <c r="F10" s="30">
        <v>4.8</v>
      </c>
      <c r="G10" s="30" t="str">
        <f>IF(tblProducts[[#This Row],[Rating]]="","Missing",IF(tblProducts[[#This Row],[Rating]]&lt;3,"Poor",IF(tblProducts[[#This Row],[Rating]]&lt;=4.5,"Average","Excellent")))</f>
        <v>Excellent</v>
      </c>
      <c r="H10" s="30" t="str">
        <f>IF(tblProducts[[#This Row],[Discount]]="","Missing",IF(tblProducts[[#This Row],[Discount]]&lt;20%,"Low Discount",IF(tblProducts[[#This Row],[Discount]]&lt;=40%,"Medium Discount","High Discount")))</f>
        <v>High Discount</v>
      </c>
      <c r="I10" s="43">
        <f>tblProducts[[#This Row],[old price (Ksh)]]-tblProducts[[#This Row],[Current price (Ksh)]]</f>
        <v>1526</v>
      </c>
      <c r="J10" s="30">
        <f>IF(tblProducts[[#This Row],[Rating]]="","",tblProducts[[#This Row],[Rating]]+tblProducts[[#This Row],[Review]]/1000000+ROW()/100000000)</f>
        <v>4.8000050999999999</v>
      </c>
      <c r="K10" s="30">
        <f>IF(tblProducts[[#This Row],[Review]]="","",tblProducts[[#This Row],[Review]]+tblProducts[[#This Row],[Rating]]/1000)</f>
        <v>5.0048000000000004</v>
      </c>
      <c r="L10" s="31">
        <f>IF(tblProducts[[#This Row],[Discount]]="","",tblProducts[[#This Row],[Discount]]+tblProducts[[#This Row],[Review]]/1000000)</f>
        <v>0.55000500000000008</v>
      </c>
    </row>
    <row r="11" spans="1:12" x14ac:dyDescent="0.3">
      <c r="A11" s="29" t="s">
        <v>38</v>
      </c>
      <c r="B11" s="43">
        <v>1600</v>
      </c>
      <c r="C11" s="43">
        <v>2929</v>
      </c>
      <c r="D11" s="44">
        <v>0.45</v>
      </c>
      <c r="E11" s="45">
        <v>5</v>
      </c>
      <c r="F11" s="30">
        <v>3.8</v>
      </c>
      <c r="G11" s="30" t="str">
        <f>IF(tblProducts[[#This Row],[Rating]]="","Missing",IF(tblProducts[[#This Row],[Rating]]&lt;3,"Poor",IF(tblProducts[[#This Row],[Rating]]&lt;=4.5,"Average","Excellent")))</f>
        <v>Average</v>
      </c>
      <c r="H11" s="30" t="str">
        <f>IF(tblProducts[[#This Row],[Discount]]="","Missing",IF(tblProducts[[#This Row],[Discount]]&lt;20%,"Low Discount",IF(tblProducts[[#This Row],[Discount]]&lt;=40%,"Medium Discount","High Discount")))</f>
        <v>High Discount</v>
      </c>
      <c r="I11" s="43">
        <f>tblProducts[[#This Row],[old price (Ksh)]]-tblProducts[[#This Row],[Current price (Ksh)]]</f>
        <v>1329</v>
      </c>
      <c r="J11" s="30">
        <f>IF(tblProducts[[#This Row],[Rating]]="","",tblProducts[[#This Row],[Rating]]+tblProducts[[#This Row],[Review]]/1000000+ROW()/100000000)</f>
        <v>3.8000051099999999</v>
      </c>
      <c r="K11" s="30">
        <f>IF(tblProducts[[#This Row],[Review]]="","",tblProducts[[#This Row],[Review]]+tblProducts[[#This Row],[Rating]]/1000)</f>
        <v>5.0038</v>
      </c>
      <c r="L11" s="31">
        <f>IF(tblProducts[[#This Row],[Discount]]="","",tblProducts[[#This Row],[Discount]]+tblProducts[[#This Row],[Review]]/1000000)</f>
        <v>0.45000499999999999</v>
      </c>
    </row>
    <row r="12" spans="1:12" x14ac:dyDescent="0.3">
      <c r="A12" s="29" t="s">
        <v>366</v>
      </c>
      <c r="B12" s="43">
        <v>799</v>
      </c>
      <c r="C12" s="43">
        <v>999</v>
      </c>
      <c r="D12" s="44">
        <v>0.2</v>
      </c>
      <c r="E12" s="45">
        <v>12</v>
      </c>
      <c r="F12" s="30">
        <v>4.0999999999999996</v>
      </c>
      <c r="G12" s="30" t="str">
        <f>IF(tblProducts[[#This Row],[Rating]]="","Missing",IF(tblProducts[[#This Row],[Rating]]&lt;3,"Poor",IF(tblProducts[[#This Row],[Rating]]&lt;=4.5,"Average","Excellent")))</f>
        <v>Average</v>
      </c>
      <c r="H12" s="30" t="str">
        <f>IF(tblProducts[[#This Row],[Discount]]="","Missing",IF(tblProducts[[#This Row],[Discount]]&lt;20%,"Low Discount",IF(tblProducts[[#This Row],[Discount]]&lt;=40%,"Medium Discount","High Discount")))</f>
        <v>Medium Discount</v>
      </c>
      <c r="I12" s="43">
        <f>tblProducts[[#This Row],[old price (Ksh)]]-tblProducts[[#This Row],[Current price (Ksh)]]</f>
        <v>200</v>
      </c>
      <c r="J12" s="30">
        <f>IF(tblProducts[[#This Row],[Rating]]="","",tblProducts[[#This Row],[Rating]]+tblProducts[[#This Row],[Review]]/1000000+ROW()/100000000)</f>
        <v>4.1000121199999997</v>
      </c>
      <c r="K12" s="30">
        <f>IF(tblProducts[[#This Row],[Review]]="","",tblProducts[[#This Row],[Review]]+tblProducts[[#This Row],[Rating]]/1000)</f>
        <v>12.004099999999999</v>
      </c>
      <c r="L12" s="31">
        <f>IF(tblProducts[[#This Row],[Discount]]="","",tblProducts[[#This Row],[Discount]]+tblProducts[[#This Row],[Review]]/1000000)</f>
        <v>0.20001200000000002</v>
      </c>
    </row>
    <row r="13" spans="1:12" x14ac:dyDescent="0.3">
      <c r="A13" s="29" t="s">
        <v>44</v>
      </c>
      <c r="B13" s="43">
        <v>990</v>
      </c>
      <c r="C13" s="43">
        <v>1500</v>
      </c>
      <c r="D13" s="44">
        <v>0.34</v>
      </c>
      <c r="E13" s="45">
        <v>39</v>
      </c>
      <c r="F13" s="30">
        <v>4.7</v>
      </c>
      <c r="G13" s="30" t="str">
        <f>IF(tblProducts[[#This Row],[Rating]]="","Missing",IF(tblProducts[[#This Row],[Rating]]&lt;3,"Poor",IF(tblProducts[[#This Row],[Rating]]&lt;=4.5,"Average","Excellent")))</f>
        <v>Excellent</v>
      </c>
      <c r="H13" s="30" t="str">
        <f>IF(tblProducts[[#This Row],[Discount]]="","Missing",IF(tblProducts[[#This Row],[Discount]]&lt;20%,"Low Discount",IF(tblProducts[[#This Row],[Discount]]&lt;=40%,"Medium Discount","High Discount")))</f>
        <v>Medium Discount</v>
      </c>
      <c r="I13" s="43">
        <f>tblProducts[[#This Row],[old price (Ksh)]]-tblProducts[[#This Row],[Current price (Ksh)]]</f>
        <v>510</v>
      </c>
      <c r="J13" s="30">
        <f>IF(tblProducts[[#This Row],[Rating]]="","",tblProducts[[#This Row],[Rating]]+tblProducts[[#This Row],[Review]]/1000000+ROW()/100000000)</f>
        <v>4.7000391300000004</v>
      </c>
      <c r="K13" s="30">
        <f>IF(tblProducts[[#This Row],[Review]]="","",tblProducts[[#This Row],[Review]]+tblProducts[[#This Row],[Rating]]/1000)</f>
        <v>39.0047</v>
      </c>
      <c r="L13" s="31">
        <f>IF(tblProducts[[#This Row],[Discount]]="","",tblProducts[[#This Row],[Discount]]+tblProducts[[#This Row],[Review]]/1000000)</f>
        <v>0.34003900000000004</v>
      </c>
    </row>
    <row r="14" spans="1:12" x14ac:dyDescent="0.3">
      <c r="A14" s="29" t="s">
        <v>364</v>
      </c>
      <c r="B14" s="43">
        <v>552</v>
      </c>
      <c r="C14" s="43">
        <v>1035</v>
      </c>
      <c r="D14" s="44">
        <v>0.47</v>
      </c>
      <c r="E14" s="45">
        <v>12</v>
      </c>
      <c r="F14" s="30">
        <v>4.8</v>
      </c>
      <c r="G14" s="30" t="str">
        <f>IF(tblProducts[[#This Row],[Rating]]="","Missing",IF(tblProducts[[#This Row],[Rating]]&lt;3,"Poor",IF(tblProducts[[#This Row],[Rating]]&lt;=4.5,"Average","Excellent")))</f>
        <v>Excellent</v>
      </c>
      <c r="H14" s="30" t="str">
        <f>IF(tblProducts[[#This Row],[Discount]]="","Missing",IF(tblProducts[[#This Row],[Discount]]&lt;20%,"Low Discount",IF(tblProducts[[#This Row],[Discount]]&lt;=40%,"Medium Discount","High Discount")))</f>
        <v>High Discount</v>
      </c>
      <c r="I14" s="43">
        <f>tblProducts[[#This Row],[old price (Ksh)]]-tblProducts[[#This Row],[Current price (Ksh)]]</f>
        <v>483</v>
      </c>
      <c r="J14" s="30">
        <f>IF(tblProducts[[#This Row],[Rating]]="","",tblProducts[[#This Row],[Rating]]+tblProducts[[#This Row],[Review]]/1000000+ROW()/100000000)</f>
        <v>4.8000121399999998</v>
      </c>
      <c r="K14" s="30">
        <f>IF(tblProducts[[#This Row],[Review]]="","",tblProducts[[#This Row],[Review]]+tblProducts[[#This Row],[Rating]]/1000)</f>
        <v>12.004799999999999</v>
      </c>
      <c r="L14" s="31">
        <f>IF(tblProducts[[#This Row],[Discount]]="","",tblProducts[[#This Row],[Discount]]+tblProducts[[#This Row],[Review]]/1000000)</f>
        <v>0.47001199999999999</v>
      </c>
    </row>
    <row r="15" spans="1:12" x14ac:dyDescent="0.3">
      <c r="A15" s="29" t="s">
        <v>325</v>
      </c>
      <c r="B15" s="43">
        <v>501</v>
      </c>
      <c r="C15" s="43">
        <v>860</v>
      </c>
      <c r="D15" s="44">
        <v>0.42</v>
      </c>
      <c r="E15" s="45">
        <v>6</v>
      </c>
      <c r="F15" s="30">
        <v>4.5</v>
      </c>
      <c r="G15" s="30" t="str">
        <f>IF(tblProducts[[#This Row],[Rating]]="","Missing",IF(tblProducts[[#This Row],[Rating]]&lt;3,"Poor",IF(tblProducts[[#This Row],[Rating]]&lt;=4.5,"Average","Excellent")))</f>
        <v>Average</v>
      </c>
      <c r="H15" s="30" t="str">
        <f>IF(tblProducts[[#This Row],[Discount]]="","Missing",IF(tblProducts[[#This Row],[Discount]]&lt;20%,"Low Discount",IF(tblProducts[[#This Row],[Discount]]&lt;=40%,"Medium Discount","High Discount")))</f>
        <v>High Discount</v>
      </c>
      <c r="I15" s="43">
        <f>tblProducts[[#This Row],[old price (Ksh)]]-tblProducts[[#This Row],[Current price (Ksh)]]</f>
        <v>359</v>
      </c>
      <c r="J15" s="30">
        <f>IF(tblProducts[[#This Row],[Rating]]="","",tblProducts[[#This Row],[Rating]]+tblProducts[[#This Row],[Review]]/1000000+ROW()/100000000)</f>
        <v>4.5000061499999999</v>
      </c>
      <c r="K15" s="30">
        <f>IF(tblProducts[[#This Row],[Review]]="","",tblProducts[[#This Row],[Review]]+tblProducts[[#This Row],[Rating]]/1000)</f>
        <v>6.0045000000000002</v>
      </c>
      <c r="L15" s="31">
        <f>IF(tblProducts[[#This Row],[Discount]]="","",tblProducts[[#This Row],[Discount]]+tblProducts[[#This Row],[Review]]/1000000)</f>
        <v>0.42000599999999999</v>
      </c>
    </row>
    <row r="16" spans="1:12" x14ac:dyDescent="0.3">
      <c r="A16" s="29" t="s">
        <v>53</v>
      </c>
      <c r="B16" s="43">
        <v>1680</v>
      </c>
      <c r="C16" s="43">
        <v>2499</v>
      </c>
      <c r="D16" s="44">
        <v>0.33</v>
      </c>
      <c r="E16" s="45">
        <v>9</v>
      </c>
      <c r="F16" s="30">
        <v>4.2</v>
      </c>
      <c r="G16" s="30" t="str">
        <f>IF(tblProducts[[#This Row],[Rating]]="","Missing",IF(tblProducts[[#This Row],[Rating]]&lt;3,"Poor",IF(tblProducts[[#This Row],[Rating]]&lt;=4.5,"Average","Excellent")))</f>
        <v>Average</v>
      </c>
      <c r="H16" s="30" t="str">
        <f>IF(tblProducts[[#This Row],[Discount]]="","Missing",IF(tblProducts[[#This Row],[Discount]]&lt;20%,"Low Discount",IF(tblProducts[[#This Row],[Discount]]&lt;=40%,"Medium Discount","High Discount")))</f>
        <v>Medium Discount</v>
      </c>
      <c r="I16" s="43">
        <f>tblProducts[[#This Row],[old price (Ksh)]]-tblProducts[[#This Row],[Current price (Ksh)]]</f>
        <v>819</v>
      </c>
      <c r="J16" s="30">
        <f>IF(tblProducts[[#This Row],[Rating]]="","",tblProducts[[#This Row],[Rating]]+tblProducts[[#This Row],[Review]]/1000000+ROW()/100000000)</f>
        <v>4.2000091600000005</v>
      </c>
      <c r="K16" s="30">
        <f>IF(tblProducts[[#This Row],[Review]]="","",tblProducts[[#This Row],[Review]]+tblProducts[[#This Row],[Rating]]/1000)</f>
        <v>9.0042000000000009</v>
      </c>
      <c r="L16" s="31">
        <f>IF(tblProducts[[#This Row],[Discount]]="","",tblProducts[[#This Row],[Discount]]+tblProducts[[#This Row],[Review]]/1000000)</f>
        <v>0.330009</v>
      </c>
    </row>
    <row r="17" spans="1:12" x14ac:dyDescent="0.3">
      <c r="A17" s="29" t="s">
        <v>326</v>
      </c>
      <c r="B17" s="43">
        <v>332</v>
      </c>
      <c r="C17" s="43">
        <v>684</v>
      </c>
      <c r="D17" s="44">
        <v>0.51</v>
      </c>
      <c r="E17" s="45">
        <v>2</v>
      </c>
      <c r="F17" s="30">
        <v>5</v>
      </c>
      <c r="G17" s="30" t="str">
        <f>IF(tblProducts[[#This Row],[Rating]]="","Missing",IF(tblProducts[[#This Row],[Rating]]&lt;3,"Poor",IF(tblProducts[[#This Row],[Rating]]&lt;=4.5,"Average","Excellent")))</f>
        <v>Excellent</v>
      </c>
      <c r="H17" s="30" t="str">
        <f>IF(tblProducts[[#This Row],[Discount]]="","Missing",IF(tblProducts[[#This Row],[Discount]]&lt;20%,"Low Discount",IF(tblProducts[[#This Row],[Discount]]&lt;=40%,"Medium Discount","High Discount")))</f>
        <v>High Discount</v>
      </c>
      <c r="I17" s="43">
        <f>tblProducts[[#This Row],[old price (Ksh)]]-tblProducts[[#This Row],[Current price (Ksh)]]</f>
        <v>352</v>
      </c>
      <c r="J17" s="30">
        <f>IF(tblProducts[[#This Row],[Rating]]="","",tblProducts[[#This Row],[Rating]]+tblProducts[[#This Row],[Review]]/1000000+ROW()/100000000)</f>
        <v>5.0000021700000001</v>
      </c>
      <c r="K17" s="30">
        <f>IF(tblProducts[[#This Row],[Review]]="","",tblProducts[[#This Row],[Review]]+tblProducts[[#This Row],[Rating]]/1000)</f>
        <v>2.0049999999999999</v>
      </c>
      <c r="L17" s="31">
        <f>IF(tblProducts[[#This Row],[Discount]]="","",tblProducts[[#This Row],[Discount]]+tblProducts[[#This Row],[Review]]/1000000)</f>
        <v>0.51000199999999996</v>
      </c>
    </row>
    <row r="18" spans="1:12" x14ac:dyDescent="0.3">
      <c r="A18" s="29" t="s">
        <v>327</v>
      </c>
      <c r="B18" s="43">
        <v>195</v>
      </c>
      <c r="C18" s="43">
        <v>360</v>
      </c>
      <c r="D18" s="44">
        <v>0.46</v>
      </c>
      <c r="E18" s="45">
        <v>2</v>
      </c>
      <c r="F18" s="30">
        <v>5</v>
      </c>
      <c r="G18" s="30" t="str">
        <f>IF(tblProducts[[#This Row],[Rating]]="","Missing",IF(tblProducts[[#This Row],[Rating]]&lt;3,"Poor",IF(tblProducts[[#This Row],[Rating]]&lt;=4.5,"Average","Excellent")))</f>
        <v>Excellent</v>
      </c>
      <c r="H18" s="30" t="str">
        <f>IF(tblProducts[[#This Row],[Discount]]="","Missing",IF(tblProducts[[#This Row],[Discount]]&lt;20%,"Low Discount",IF(tblProducts[[#This Row],[Discount]]&lt;=40%,"Medium Discount","High Discount")))</f>
        <v>High Discount</v>
      </c>
      <c r="I18" s="43">
        <f>tblProducts[[#This Row],[old price (Ksh)]]-tblProducts[[#This Row],[Current price (Ksh)]]</f>
        <v>165</v>
      </c>
      <c r="J18" s="30">
        <f>IF(tblProducts[[#This Row],[Rating]]="","",tblProducts[[#This Row],[Rating]]+tblProducts[[#This Row],[Review]]/1000000+ROW()/100000000)</f>
        <v>5.0000021800000001</v>
      </c>
      <c r="K18" s="30">
        <f>IF(tblProducts[[#This Row],[Review]]="","",tblProducts[[#This Row],[Review]]+tblProducts[[#This Row],[Rating]]/1000)</f>
        <v>2.0049999999999999</v>
      </c>
      <c r="L18" s="31">
        <f>IF(tblProducts[[#This Row],[Discount]]="","",tblProducts[[#This Row],[Discount]]+tblProducts[[#This Row],[Review]]/1000000)</f>
        <v>0.46000200000000002</v>
      </c>
    </row>
    <row r="19" spans="1:12" x14ac:dyDescent="0.3">
      <c r="A19" s="29" t="s">
        <v>328</v>
      </c>
      <c r="B19" s="43">
        <v>2025</v>
      </c>
      <c r="C19" s="43">
        <v>3971</v>
      </c>
      <c r="D19" s="44">
        <v>0.49</v>
      </c>
      <c r="E19" s="45">
        <v>3</v>
      </c>
      <c r="F19" s="30">
        <v>5</v>
      </c>
      <c r="G19" s="30" t="str">
        <f>IF(tblProducts[[#This Row],[Rating]]="","Missing",IF(tblProducts[[#This Row],[Rating]]&lt;3,"Poor",IF(tblProducts[[#This Row],[Rating]]&lt;=4.5,"Average","Excellent")))</f>
        <v>Excellent</v>
      </c>
      <c r="H19" s="30" t="str">
        <f>IF(tblProducts[[#This Row],[Discount]]="","Missing",IF(tblProducts[[#This Row],[Discount]]&lt;20%,"Low Discount",IF(tblProducts[[#This Row],[Discount]]&lt;=40%,"Medium Discount","High Discount")))</f>
        <v>High Discount</v>
      </c>
      <c r="I19" s="43">
        <f>tblProducts[[#This Row],[old price (Ksh)]]-tblProducts[[#This Row],[Current price (Ksh)]]</f>
        <v>1946</v>
      </c>
      <c r="J19" s="30">
        <f>IF(tblProducts[[#This Row],[Rating]]="","",tblProducts[[#This Row],[Rating]]+tblProducts[[#This Row],[Review]]/1000000+ROW()/100000000)</f>
        <v>5.0000031900000002</v>
      </c>
      <c r="K19" s="30">
        <f>IF(tblProducts[[#This Row],[Review]]="","",tblProducts[[#This Row],[Review]]+tblProducts[[#This Row],[Rating]]/1000)</f>
        <v>3.0049999999999999</v>
      </c>
      <c r="L19" s="31">
        <f>IF(tblProducts[[#This Row],[Discount]]="","",tblProducts[[#This Row],[Discount]]+tblProducts[[#This Row],[Review]]/1000000)</f>
        <v>0.49000299999999997</v>
      </c>
    </row>
    <row r="20" spans="1:12" x14ac:dyDescent="0.3">
      <c r="A20" s="29" t="s">
        <v>66</v>
      </c>
      <c r="B20" s="43">
        <v>2999</v>
      </c>
      <c r="C20" s="43">
        <v>3699</v>
      </c>
      <c r="D20" s="44">
        <v>0.19</v>
      </c>
      <c r="E20" s="45">
        <v>5</v>
      </c>
      <c r="F20" s="30">
        <v>4.5999999999999996</v>
      </c>
      <c r="G20" s="30" t="str">
        <f>IF(tblProducts[[#This Row],[Rating]]="","Missing",IF(tblProducts[[#This Row],[Rating]]&lt;3,"Poor",IF(tblProducts[[#This Row],[Rating]]&lt;=4.5,"Average","Excellent")))</f>
        <v>Excellent</v>
      </c>
      <c r="H20" s="30" t="str">
        <f>IF(tblProducts[[#This Row],[Discount]]="","Missing",IF(tblProducts[[#This Row],[Discount]]&lt;20%,"Low Discount",IF(tblProducts[[#This Row],[Discount]]&lt;=40%,"Medium Discount","High Discount")))</f>
        <v>Low Discount</v>
      </c>
      <c r="I20" s="43">
        <f>tblProducts[[#This Row],[old price (Ksh)]]-tblProducts[[#This Row],[Current price (Ksh)]]</f>
        <v>700</v>
      </c>
      <c r="J20" s="30">
        <f>IF(tblProducts[[#This Row],[Rating]]="","",tblProducts[[#This Row],[Rating]]+tblProducts[[#This Row],[Review]]/1000000+ROW()/100000000)</f>
        <v>4.6000051999999991</v>
      </c>
      <c r="K20" s="30">
        <f>IF(tblProducts[[#This Row],[Review]]="","",tblProducts[[#This Row],[Review]]+tblProducts[[#This Row],[Rating]]/1000)</f>
        <v>5.0045999999999999</v>
      </c>
      <c r="L20" s="31">
        <f>IF(tblProducts[[#This Row],[Discount]]="","",tblProducts[[#This Row],[Discount]]+tblProducts[[#This Row],[Review]]/1000000)</f>
        <v>0.19000500000000001</v>
      </c>
    </row>
    <row r="21" spans="1:12" x14ac:dyDescent="0.3">
      <c r="A21" s="29" t="s">
        <v>68</v>
      </c>
      <c r="B21" s="43">
        <v>998</v>
      </c>
      <c r="C21" s="43">
        <v>1966</v>
      </c>
      <c r="D21" s="44">
        <v>0.49</v>
      </c>
      <c r="E21" s="45">
        <v>44</v>
      </c>
      <c r="F21" s="30">
        <v>4.5999999999999996</v>
      </c>
      <c r="G21" s="30" t="str">
        <f>IF(tblProducts[[#This Row],[Rating]]="","Missing",IF(tblProducts[[#This Row],[Rating]]&lt;3,"Poor",IF(tblProducts[[#This Row],[Rating]]&lt;=4.5,"Average","Excellent")))</f>
        <v>Excellent</v>
      </c>
      <c r="H21" s="30" t="str">
        <f>IF(tblProducts[[#This Row],[Discount]]="","Missing",IF(tblProducts[[#This Row],[Discount]]&lt;20%,"Low Discount",IF(tblProducts[[#This Row],[Discount]]&lt;=40%,"Medium Discount","High Discount")))</f>
        <v>High Discount</v>
      </c>
      <c r="I21" s="43">
        <f>tblProducts[[#This Row],[old price (Ksh)]]-tblProducts[[#This Row],[Current price (Ksh)]]</f>
        <v>968</v>
      </c>
      <c r="J21" s="30">
        <f>IF(tblProducts[[#This Row],[Rating]]="","",tblProducts[[#This Row],[Rating]]+tblProducts[[#This Row],[Review]]/1000000+ROW()/100000000)</f>
        <v>4.6000442099999992</v>
      </c>
      <c r="K21" s="30">
        <f>IF(tblProducts[[#This Row],[Review]]="","",tblProducts[[#This Row],[Review]]+tblProducts[[#This Row],[Rating]]/1000)</f>
        <v>44.004600000000003</v>
      </c>
      <c r="L21" s="31">
        <f>IF(tblProducts[[#This Row],[Discount]]="","",tblProducts[[#This Row],[Discount]]+tblProducts[[#This Row],[Review]]/1000000)</f>
        <v>0.49004399999999998</v>
      </c>
    </row>
    <row r="22" spans="1:12" x14ac:dyDescent="0.3">
      <c r="A22" s="29" t="s">
        <v>329</v>
      </c>
      <c r="B22" s="43">
        <v>38</v>
      </c>
      <c r="C22" s="43">
        <v>80</v>
      </c>
      <c r="D22" s="44">
        <v>0.53</v>
      </c>
      <c r="E22" s="45">
        <v>13</v>
      </c>
      <c r="F22" s="30">
        <v>3.3</v>
      </c>
      <c r="G22" s="30" t="str">
        <f>IF(tblProducts[[#This Row],[Rating]]="","Missing",IF(tblProducts[[#This Row],[Rating]]&lt;3,"Poor",IF(tblProducts[[#This Row],[Rating]]&lt;=4.5,"Average","Excellent")))</f>
        <v>Average</v>
      </c>
      <c r="H22" s="30" t="str">
        <f>IF(tblProducts[[#This Row],[Discount]]="","Missing",IF(tblProducts[[#This Row],[Discount]]&lt;20%,"Low Discount",IF(tblProducts[[#This Row],[Discount]]&lt;=40%,"Medium Discount","High Discount")))</f>
        <v>High Discount</v>
      </c>
      <c r="I22" s="43">
        <f>tblProducts[[#This Row],[old price (Ksh)]]-tblProducts[[#This Row],[Current price (Ksh)]]</f>
        <v>42</v>
      </c>
      <c r="J22" s="30">
        <f>IF(tblProducts[[#This Row],[Rating]]="","",tblProducts[[#This Row],[Rating]]+tblProducts[[#This Row],[Review]]/1000000+ROW()/100000000)</f>
        <v>3.3000132199999999</v>
      </c>
      <c r="K22" s="30">
        <f>IF(tblProducts[[#This Row],[Review]]="","",tblProducts[[#This Row],[Review]]+tblProducts[[#This Row],[Rating]]/1000)</f>
        <v>13.003299999999999</v>
      </c>
      <c r="L22" s="31">
        <f>IF(tblProducts[[#This Row],[Discount]]="","",tblProducts[[#This Row],[Discount]]+tblProducts[[#This Row],[Review]]/1000000)</f>
        <v>0.53001300000000007</v>
      </c>
    </row>
    <row r="23" spans="1:12" x14ac:dyDescent="0.3">
      <c r="A23" s="29" t="s">
        <v>330</v>
      </c>
      <c r="B23" s="43">
        <v>1860</v>
      </c>
      <c r="C23" s="43">
        <v>3220</v>
      </c>
      <c r="D23" s="44">
        <v>0.42</v>
      </c>
      <c r="E23" s="45"/>
      <c r="F23" s="30" t="s">
        <v>371</v>
      </c>
      <c r="G23" s="30" t="str">
        <f>IF(tblProducts[[#This Row],[Rating]]="","Missing",IF(tblProducts[[#This Row],[Rating]]&lt;3,"Poor",IF(tblProducts[[#This Row],[Rating]]&lt;=4.5,"Average","Excellent")))</f>
        <v>Missing</v>
      </c>
      <c r="H23" s="30" t="str">
        <f>IF(tblProducts[[#This Row],[Discount]]="","Missing",IF(tblProducts[[#This Row],[Discount]]&lt;20%,"Low Discount",IF(tblProducts[[#This Row],[Discount]]&lt;=40%,"Medium Discount","High Discount")))</f>
        <v>High Discount</v>
      </c>
      <c r="I23" s="43">
        <f>tblProducts[[#This Row],[old price (Ksh)]]-tblProducts[[#This Row],[Current price (Ksh)]]</f>
        <v>1360</v>
      </c>
      <c r="J23" s="30" t="str">
        <f>IF(tblProducts[[#This Row],[Rating]]="","",tblProducts[[#This Row],[Rating]]+tblProducts[[#This Row],[Review]]/1000000+ROW()/100000000)</f>
        <v/>
      </c>
      <c r="K23" s="30" t="str">
        <f>IF(tblProducts[[#This Row],[Review]]="","",tblProducts[[#This Row],[Review]]+tblProducts[[#This Row],[Rating]]/1000)</f>
        <v/>
      </c>
      <c r="L23" s="31">
        <f>IF(tblProducts[[#This Row],[Discount]]="","",tblProducts[[#This Row],[Discount]]+tblProducts[[#This Row],[Review]]/1000000)</f>
        <v>0.42</v>
      </c>
    </row>
    <row r="24" spans="1:12" x14ac:dyDescent="0.3">
      <c r="A24" s="29" t="s">
        <v>78</v>
      </c>
      <c r="B24" s="43">
        <v>880</v>
      </c>
      <c r="C24" s="43">
        <v>1350</v>
      </c>
      <c r="D24" s="44">
        <v>0.35</v>
      </c>
      <c r="E24" s="45">
        <v>6</v>
      </c>
      <c r="F24" s="30">
        <v>4</v>
      </c>
      <c r="G24" s="30" t="str">
        <f>IF(tblProducts[[#This Row],[Rating]]="","Missing",IF(tblProducts[[#This Row],[Rating]]&lt;3,"Poor",IF(tblProducts[[#This Row],[Rating]]&lt;=4.5,"Average","Excellent")))</f>
        <v>Average</v>
      </c>
      <c r="H24" s="30" t="str">
        <f>IF(tblProducts[[#This Row],[Discount]]="","Missing",IF(tblProducts[[#This Row],[Discount]]&lt;20%,"Low Discount",IF(tblProducts[[#This Row],[Discount]]&lt;=40%,"Medium Discount","High Discount")))</f>
        <v>Medium Discount</v>
      </c>
      <c r="I24" s="43">
        <f>tblProducts[[#This Row],[old price (Ksh)]]-tblProducts[[#This Row],[Current price (Ksh)]]</f>
        <v>470</v>
      </c>
      <c r="J24" s="30">
        <f>IF(tblProducts[[#This Row],[Rating]]="","",tblProducts[[#This Row],[Rating]]+tblProducts[[#This Row],[Review]]/1000000+ROW()/100000000)</f>
        <v>4.0000062400000003</v>
      </c>
      <c r="K24" s="30">
        <f>IF(tblProducts[[#This Row],[Review]]="","",tblProducts[[#This Row],[Review]]+tblProducts[[#This Row],[Rating]]/1000)</f>
        <v>6.0039999999999996</v>
      </c>
      <c r="L24" s="31">
        <f>IF(tblProducts[[#This Row],[Discount]]="","",tblProducts[[#This Row],[Discount]]+tblProducts[[#This Row],[Review]]/1000000)</f>
        <v>0.35000599999999998</v>
      </c>
    </row>
    <row r="25" spans="1:12" x14ac:dyDescent="0.3">
      <c r="A25" s="29" t="s">
        <v>81</v>
      </c>
      <c r="B25" s="43">
        <v>1650</v>
      </c>
      <c r="C25" s="43">
        <v>2150</v>
      </c>
      <c r="D25" s="44">
        <v>0.23</v>
      </c>
      <c r="E25" s="45">
        <v>14</v>
      </c>
      <c r="F25" s="30">
        <v>4.4000000000000004</v>
      </c>
      <c r="G25" s="30" t="str">
        <f>IF(tblProducts[[#This Row],[Rating]]="","Missing",IF(tblProducts[[#This Row],[Rating]]&lt;3,"Poor",IF(tblProducts[[#This Row],[Rating]]&lt;=4.5,"Average","Excellent")))</f>
        <v>Average</v>
      </c>
      <c r="H25" s="30" t="str">
        <f>IF(tblProducts[[#This Row],[Discount]]="","Missing",IF(tblProducts[[#This Row],[Discount]]&lt;20%,"Low Discount",IF(tblProducts[[#This Row],[Discount]]&lt;=40%,"Medium Discount","High Discount")))</f>
        <v>Medium Discount</v>
      </c>
      <c r="I25" s="43">
        <f>tblProducts[[#This Row],[old price (Ksh)]]-tblProducts[[#This Row],[Current price (Ksh)]]</f>
        <v>500</v>
      </c>
      <c r="J25" s="30">
        <f>IF(tblProducts[[#This Row],[Rating]]="","",tblProducts[[#This Row],[Rating]]+tblProducts[[#This Row],[Review]]/1000000+ROW()/100000000)</f>
        <v>4.4000142500000008</v>
      </c>
      <c r="K25" s="30">
        <f>IF(tblProducts[[#This Row],[Review]]="","",tblProducts[[#This Row],[Review]]+tblProducts[[#This Row],[Rating]]/1000)</f>
        <v>14.0044</v>
      </c>
      <c r="L25" s="31">
        <f>IF(tblProducts[[#This Row],[Discount]]="","",tblProducts[[#This Row],[Discount]]+tblProducts[[#This Row],[Review]]/1000000)</f>
        <v>0.230014</v>
      </c>
    </row>
    <row r="26" spans="1:12" x14ac:dyDescent="0.3">
      <c r="A26" s="29" t="s">
        <v>331</v>
      </c>
      <c r="B26" s="43">
        <v>2048</v>
      </c>
      <c r="C26" s="43">
        <v>4500</v>
      </c>
      <c r="D26" s="44">
        <v>0.54</v>
      </c>
      <c r="E26" s="45">
        <v>7</v>
      </c>
      <c r="F26" s="30">
        <v>4.3</v>
      </c>
      <c r="G26" s="30" t="str">
        <f>IF(tblProducts[[#This Row],[Rating]]="","Missing",IF(tblProducts[[#This Row],[Rating]]&lt;3,"Poor",IF(tblProducts[[#This Row],[Rating]]&lt;=4.5,"Average","Excellent")))</f>
        <v>Average</v>
      </c>
      <c r="H26" s="30" t="str">
        <f>IF(tblProducts[[#This Row],[Discount]]="","Missing",IF(tblProducts[[#This Row],[Discount]]&lt;20%,"Low Discount",IF(tblProducts[[#This Row],[Discount]]&lt;=40%,"Medium Discount","High Discount")))</f>
        <v>High Discount</v>
      </c>
      <c r="I26" s="43">
        <f>tblProducts[[#This Row],[old price (Ksh)]]-tblProducts[[#This Row],[Current price (Ksh)]]</f>
        <v>2452</v>
      </c>
      <c r="J26" s="30">
        <f>IF(tblProducts[[#This Row],[Rating]]="","",tblProducts[[#This Row],[Rating]]+tblProducts[[#This Row],[Review]]/1000000+ROW()/100000000)</f>
        <v>4.3000072600000001</v>
      </c>
      <c r="K26" s="30">
        <f>IF(tblProducts[[#This Row],[Review]]="","",tblProducts[[#This Row],[Review]]+tblProducts[[#This Row],[Rating]]/1000)</f>
        <v>7.0042999999999997</v>
      </c>
      <c r="L26" s="31">
        <f>IF(tblProducts[[#This Row],[Discount]]="","",tblProducts[[#This Row],[Discount]]+tblProducts[[#This Row],[Review]]/1000000)</f>
        <v>0.54000700000000001</v>
      </c>
    </row>
    <row r="27" spans="1:12" x14ac:dyDescent="0.3">
      <c r="A27" s="29" t="s">
        <v>89</v>
      </c>
      <c r="B27" s="43">
        <v>420</v>
      </c>
      <c r="C27" s="43">
        <v>647</v>
      </c>
      <c r="D27" s="44">
        <v>0.35</v>
      </c>
      <c r="E27" s="45">
        <v>49</v>
      </c>
      <c r="F27" s="30">
        <v>4.5999999999999996</v>
      </c>
      <c r="G27" s="30" t="str">
        <f>IF(tblProducts[[#This Row],[Rating]]="","Missing",IF(tblProducts[[#This Row],[Rating]]&lt;3,"Poor",IF(tblProducts[[#This Row],[Rating]]&lt;=4.5,"Average","Excellent")))</f>
        <v>Excellent</v>
      </c>
      <c r="H27" s="30" t="str">
        <f>IF(tblProducts[[#This Row],[Discount]]="","Missing",IF(tblProducts[[#This Row],[Discount]]&lt;20%,"Low Discount",IF(tblProducts[[#This Row],[Discount]]&lt;=40%,"Medium Discount","High Discount")))</f>
        <v>Medium Discount</v>
      </c>
      <c r="I27" s="43">
        <f>tblProducts[[#This Row],[old price (Ksh)]]-tblProducts[[#This Row],[Current price (Ksh)]]</f>
        <v>227</v>
      </c>
      <c r="J27" s="30">
        <f>IF(tblProducts[[#This Row],[Rating]]="","",tblProducts[[#This Row],[Rating]]+tblProducts[[#This Row],[Review]]/1000000+ROW()/100000000)</f>
        <v>4.6000492699999995</v>
      </c>
      <c r="K27" s="30">
        <f>IF(tblProducts[[#This Row],[Review]]="","",tblProducts[[#This Row],[Review]]+tblProducts[[#This Row],[Rating]]/1000)</f>
        <v>49.004600000000003</v>
      </c>
      <c r="L27" s="31">
        <f>IF(tblProducts[[#This Row],[Discount]]="","",tblProducts[[#This Row],[Discount]]+tblProducts[[#This Row],[Review]]/1000000)</f>
        <v>0.350049</v>
      </c>
    </row>
    <row r="28" spans="1:12" x14ac:dyDescent="0.3">
      <c r="A28" s="29" t="s">
        <v>92</v>
      </c>
      <c r="B28" s="43">
        <v>2880</v>
      </c>
      <c r="C28" s="43">
        <v>3520</v>
      </c>
      <c r="D28" s="44">
        <v>0.18</v>
      </c>
      <c r="E28" s="45">
        <v>12</v>
      </c>
      <c r="F28" s="30">
        <v>3.8</v>
      </c>
      <c r="G28" s="30" t="str">
        <f>IF(tblProducts[[#This Row],[Rating]]="","Missing",IF(tblProducts[[#This Row],[Rating]]&lt;3,"Poor",IF(tblProducts[[#This Row],[Rating]]&lt;=4.5,"Average","Excellent")))</f>
        <v>Average</v>
      </c>
      <c r="H28" s="30" t="str">
        <f>IF(tblProducts[[#This Row],[Discount]]="","Missing",IF(tblProducts[[#This Row],[Discount]]&lt;20%,"Low Discount",IF(tblProducts[[#This Row],[Discount]]&lt;=40%,"Medium Discount","High Discount")))</f>
        <v>Low Discount</v>
      </c>
      <c r="I28" s="43">
        <f>tblProducts[[#This Row],[old price (Ksh)]]-tblProducts[[#This Row],[Current price (Ksh)]]</f>
        <v>640</v>
      </c>
      <c r="J28" s="30">
        <f>IF(tblProducts[[#This Row],[Rating]]="","",tblProducts[[#This Row],[Rating]]+tblProducts[[#This Row],[Review]]/1000000+ROW()/100000000)</f>
        <v>3.8000122799999998</v>
      </c>
      <c r="K28" s="30">
        <f>IF(tblProducts[[#This Row],[Review]]="","",tblProducts[[#This Row],[Review]]+tblProducts[[#This Row],[Rating]]/1000)</f>
        <v>12.0038</v>
      </c>
      <c r="L28" s="31">
        <f>IF(tblProducts[[#This Row],[Discount]]="","",tblProducts[[#This Row],[Discount]]+tblProducts[[#This Row],[Review]]/1000000)</f>
        <v>0.18001200000000001</v>
      </c>
    </row>
    <row r="29" spans="1:12" x14ac:dyDescent="0.3">
      <c r="A29" s="29" t="s">
        <v>95</v>
      </c>
      <c r="B29" s="43">
        <v>1350</v>
      </c>
      <c r="C29" s="43">
        <v>1990</v>
      </c>
      <c r="D29" s="44">
        <v>0.32</v>
      </c>
      <c r="E29" s="45">
        <v>13</v>
      </c>
      <c r="F29" s="30">
        <v>3.8</v>
      </c>
      <c r="G29" s="30" t="str">
        <f>IF(tblProducts[[#This Row],[Rating]]="","Missing",IF(tblProducts[[#This Row],[Rating]]&lt;3,"Poor",IF(tblProducts[[#This Row],[Rating]]&lt;=4.5,"Average","Excellent")))</f>
        <v>Average</v>
      </c>
      <c r="H29" s="30" t="str">
        <f>IF(tblProducts[[#This Row],[Discount]]="","Missing",IF(tblProducts[[#This Row],[Discount]]&lt;20%,"Low Discount",IF(tblProducts[[#This Row],[Discount]]&lt;=40%,"Medium Discount","High Discount")))</f>
        <v>Medium Discount</v>
      </c>
      <c r="I29" s="43">
        <f>tblProducts[[#This Row],[old price (Ksh)]]-tblProducts[[#This Row],[Current price (Ksh)]]</f>
        <v>640</v>
      </c>
      <c r="J29" s="30">
        <f>IF(tblProducts[[#This Row],[Rating]]="","",tblProducts[[#This Row],[Rating]]+tblProducts[[#This Row],[Review]]/1000000+ROW()/100000000)</f>
        <v>3.8000132899999999</v>
      </c>
      <c r="K29" s="30">
        <f>IF(tblProducts[[#This Row],[Review]]="","",tblProducts[[#This Row],[Review]]+tblProducts[[#This Row],[Rating]]/1000)</f>
        <v>13.0038</v>
      </c>
      <c r="L29" s="31">
        <f>IF(tblProducts[[#This Row],[Discount]]="","",tblProducts[[#This Row],[Discount]]+tblProducts[[#This Row],[Review]]/1000000)</f>
        <v>0.32001299999999999</v>
      </c>
    </row>
    <row r="30" spans="1:12" x14ac:dyDescent="0.3">
      <c r="A30" s="29" t="s">
        <v>97</v>
      </c>
      <c r="B30" s="43">
        <v>1758</v>
      </c>
      <c r="C30" s="43">
        <v>2499</v>
      </c>
      <c r="D30" s="44">
        <v>0.3</v>
      </c>
      <c r="E30" s="45">
        <v>20</v>
      </c>
      <c r="F30" s="30">
        <v>4.0999999999999996</v>
      </c>
      <c r="G30" s="30" t="str">
        <f>IF(tblProducts[[#This Row],[Rating]]="","Missing",IF(tblProducts[[#This Row],[Rating]]&lt;3,"Poor",IF(tblProducts[[#This Row],[Rating]]&lt;=4.5,"Average","Excellent")))</f>
        <v>Average</v>
      </c>
      <c r="H30" s="30" t="str">
        <f>IF(tblProducts[[#This Row],[Discount]]="","Missing",IF(tblProducts[[#This Row],[Discount]]&lt;20%,"Low Discount",IF(tblProducts[[#This Row],[Discount]]&lt;=40%,"Medium Discount","High Discount")))</f>
        <v>Medium Discount</v>
      </c>
      <c r="I30" s="43">
        <f>tblProducts[[#This Row],[old price (Ksh)]]-tblProducts[[#This Row],[Current price (Ksh)]]</f>
        <v>741</v>
      </c>
      <c r="J30" s="30">
        <f>IF(tblProducts[[#This Row],[Rating]]="","",tblProducts[[#This Row],[Rating]]+tblProducts[[#This Row],[Review]]/1000000+ROW()/100000000)</f>
        <v>4.1000202999999997</v>
      </c>
      <c r="K30" s="30">
        <f>IF(tblProducts[[#This Row],[Review]]="","",tblProducts[[#This Row],[Review]]+tblProducts[[#This Row],[Rating]]/1000)</f>
        <v>20.004100000000001</v>
      </c>
      <c r="L30" s="31">
        <f>IF(tblProducts[[#This Row],[Discount]]="","",tblProducts[[#This Row],[Discount]]+tblProducts[[#This Row],[Review]]/1000000)</f>
        <v>0.30002000000000001</v>
      </c>
    </row>
    <row r="31" spans="1:12" x14ac:dyDescent="0.3">
      <c r="A31" s="29" t="s">
        <v>367</v>
      </c>
      <c r="B31" s="43">
        <v>2200</v>
      </c>
      <c r="C31" s="43">
        <v>4080</v>
      </c>
      <c r="D31" s="44">
        <v>0.46</v>
      </c>
      <c r="E31" s="45"/>
      <c r="F31" s="30" t="s">
        <v>371</v>
      </c>
      <c r="G31" s="30" t="str">
        <f>IF(tblProducts[[#This Row],[Rating]]="","Missing",IF(tblProducts[[#This Row],[Rating]]&lt;3,"Poor",IF(tblProducts[[#This Row],[Rating]]&lt;=4.5,"Average","Excellent")))</f>
        <v>Missing</v>
      </c>
      <c r="H31" s="30" t="str">
        <f>IF(tblProducts[[#This Row],[Discount]]="","Missing",IF(tblProducts[[#This Row],[Discount]]&lt;20%,"Low Discount",IF(tblProducts[[#This Row],[Discount]]&lt;=40%,"Medium Discount","High Discount")))</f>
        <v>High Discount</v>
      </c>
      <c r="I31" s="43">
        <f>tblProducts[[#This Row],[old price (Ksh)]]-tblProducts[[#This Row],[Current price (Ksh)]]</f>
        <v>1880</v>
      </c>
      <c r="J31" s="30" t="str">
        <f>IF(tblProducts[[#This Row],[Rating]]="","",tblProducts[[#This Row],[Rating]]+tblProducts[[#This Row],[Review]]/1000000+ROW()/100000000)</f>
        <v/>
      </c>
      <c r="K31" s="30" t="str">
        <f>IF(tblProducts[[#This Row],[Review]]="","",tblProducts[[#This Row],[Review]]+tblProducts[[#This Row],[Rating]]/1000)</f>
        <v/>
      </c>
      <c r="L31" s="31">
        <f>IF(tblProducts[[#This Row],[Discount]]="","",tblProducts[[#This Row],[Discount]]+tblProducts[[#This Row],[Review]]/1000000)</f>
        <v>0.46</v>
      </c>
    </row>
    <row r="32" spans="1:12" x14ac:dyDescent="0.3">
      <c r="A32" s="29" t="s">
        <v>102</v>
      </c>
      <c r="B32" s="43">
        <v>185</v>
      </c>
      <c r="C32" s="43">
        <v>382</v>
      </c>
      <c r="D32" s="44">
        <v>0.52</v>
      </c>
      <c r="E32" s="45">
        <v>9</v>
      </c>
      <c r="F32" s="30">
        <v>4.3</v>
      </c>
      <c r="G32" s="30" t="str">
        <f>IF(tblProducts[[#This Row],[Rating]]="","Missing",IF(tblProducts[[#This Row],[Rating]]&lt;3,"Poor",IF(tblProducts[[#This Row],[Rating]]&lt;=4.5,"Average","Excellent")))</f>
        <v>Average</v>
      </c>
      <c r="H32" s="30" t="str">
        <f>IF(tblProducts[[#This Row],[Discount]]="","Missing",IF(tblProducts[[#This Row],[Discount]]&lt;20%,"Low Discount",IF(tblProducts[[#This Row],[Discount]]&lt;=40%,"Medium Discount","High Discount")))</f>
        <v>High Discount</v>
      </c>
      <c r="I32" s="43">
        <f>tblProducts[[#This Row],[old price (Ksh)]]-tblProducts[[#This Row],[Current price (Ksh)]]</f>
        <v>197</v>
      </c>
      <c r="J32" s="30">
        <f>IF(tblProducts[[#This Row],[Rating]]="","",tblProducts[[#This Row],[Rating]]+tblProducts[[#This Row],[Review]]/1000000+ROW()/100000000)</f>
        <v>4.30000932</v>
      </c>
      <c r="K32" s="30">
        <f>IF(tblProducts[[#This Row],[Review]]="","",tblProducts[[#This Row],[Review]]+tblProducts[[#This Row],[Rating]]/1000)</f>
        <v>9.0043000000000006</v>
      </c>
      <c r="L32" s="31">
        <f>IF(tblProducts[[#This Row],[Discount]]="","",tblProducts[[#This Row],[Discount]]+tblProducts[[#This Row],[Review]]/1000000)</f>
        <v>0.52000900000000005</v>
      </c>
    </row>
    <row r="33" spans="1:12" x14ac:dyDescent="0.3">
      <c r="A33" s="29" t="s">
        <v>105</v>
      </c>
      <c r="B33" s="43">
        <v>980</v>
      </c>
      <c r="C33" s="43">
        <v>1490</v>
      </c>
      <c r="D33" s="44">
        <v>0.34</v>
      </c>
      <c r="E33" s="45">
        <v>12</v>
      </c>
      <c r="F33" s="30">
        <v>4.7</v>
      </c>
      <c r="G33" s="30" t="str">
        <f>IF(tblProducts[[#This Row],[Rating]]="","Missing",IF(tblProducts[[#This Row],[Rating]]&lt;3,"Poor",IF(tblProducts[[#This Row],[Rating]]&lt;=4.5,"Average","Excellent")))</f>
        <v>Excellent</v>
      </c>
      <c r="H33" s="30" t="str">
        <f>IF(tblProducts[[#This Row],[Discount]]="","Missing",IF(tblProducts[[#This Row],[Discount]]&lt;20%,"Low Discount",IF(tblProducts[[#This Row],[Discount]]&lt;=40%,"Medium Discount","High Discount")))</f>
        <v>Medium Discount</v>
      </c>
      <c r="I33" s="43">
        <f>tblProducts[[#This Row],[old price (Ksh)]]-tblProducts[[#This Row],[Current price (Ksh)]]</f>
        <v>510</v>
      </c>
      <c r="J33" s="30">
        <f>IF(tblProducts[[#This Row],[Rating]]="","",tblProducts[[#This Row],[Rating]]+tblProducts[[#This Row],[Review]]/1000000+ROW()/100000000)</f>
        <v>4.7000123299999998</v>
      </c>
      <c r="K33" s="30">
        <f>IF(tblProducts[[#This Row],[Review]]="","",tblProducts[[#This Row],[Review]]+tblProducts[[#This Row],[Rating]]/1000)</f>
        <v>12.0047</v>
      </c>
      <c r="L33" s="31">
        <f>IF(tblProducts[[#This Row],[Discount]]="","",tblProducts[[#This Row],[Discount]]+tblProducts[[#This Row],[Review]]/1000000)</f>
        <v>0.34001200000000004</v>
      </c>
    </row>
    <row r="34" spans="1:12" x14ac:dyDescent="0.3">
      <c r="A34" s="29" t="s">
        <v>358</v>
      </c>
      <c r="B34" s="43">
        <v>1820</v>
      </c>
      <c r="C34" s="43">
        <v>3490</v>
      </c>
      <c r="D34" s="44">
        <v>0.48</v>
      </c>
      <c r="E34" s="45">
        <v>9</v>
      </c>
      <c r="F34" s="30">
        <v>4.3</v>
      </c>
      <c r="G34" s="30" t="str">
        <f>IF(tblProducts[[#This Row],[Rating]]="","Missing",IF(tblProducts[[#This Row],[Rating]]&lt;3,"Poor",IF(tblProducts[[#This Row],[Rating]]&lt;=4.5,"Average","Excellent")))</f>
        <v>Average</v>
      </c>
      <c r="H34" s="30" t="str">
        <f>IF(tblProducts[[#This Row],[Discount]]="","Missing",IF(tblProducts[[#This Row],[Discount]]&lt;20%,"Low Discount",IF(tblProducts[[#This Row],[Discount]]&lt;=40%,"Medium Discount","High Discount")))</f>
        <v>High Discount</v>
      </c>
      <c r="I34" s="43">
        <f>tblProducts[[#This Row],[old price (Ksh)]]-tblProducts[[#This Row],[Current price (Ksh)]]</f>
        <v>1670</v>
      </c>
      <c r="J34" s="30">
        <f>IF(tblProducts[[#This Row],[Rating]]="","",tblProducts[[#This Row],[Rating]]+tblProducts[[#This Row],[Review]]/1000000+ROW()/100000000)</f>
        <v>4.3000093399999999</v>
      </c>
      <c r="K34" s="30">
        <f>IF(tblProducts[[#This Row],[Review]]="","",tblProducts[[#This Row],[Review]]+tblProducts[[#This Row],[Rating]]/1000)</f>
        <v>9.0043000000000006</v>
      </c>
      <c r="L34" s="31">
        <f>IF(tblProducts[[#This Row],[Discount]]="","",tblProducts[[#This Row],[Discount]]+tblProducts[[#This Row],[Review]]/1000000)</f>
        <v>0.48000899999999996</v>
      </c>
    </row>
    <row r="35" spans="1:12" x14ac:dyDescent="0.3">
      <c r="A35" s="29" t="s">
        <v>111</v>
      </c>
      <c r="B35" s="43">
        <v>1940</v>
      </c>
      <c r="C35" s="43">
        <v>2650</v>
      </c>
      <c r="D35" s="44">
        <v>0.27</v>
      </c>
      <c r="E35" s="45">
        <v>20</v>
      </c>
      <c r="F35" s="30">
        <v>4.7</v>
      </c>
      <c r="G35" s="30" t="str">
        <f>IF(tblProducts[[#This Row],[Rating]]="","Missing",IF(tblProducts[[#This Row],[Rating]]&lt;3,"Poor",IF(tblProducts[[#This Row],[Rating]]&lt;=4.5,"Average","Excellent")))</f>
        <v>Excellent</v>
      </c>
      <c r="H35" s="30" t="str">
        <f>IF(tblProducts[[#This Row],[Discount]]="","Missing",IF(tblProducts[[#This Row],[Discount]]&lt;20%,"Low Discount",IF(tblProducts[[#This Row],[Discount]]&lt;=40%,"Medium Discount","High Discount")))</f>
        <v>Medium Discount</v>
      </c>
      <c r="I35" s="43">
        <f>tblProducts[[#This Row],[old price (Ksh)]]-tblProducts[[#This Row],[Current price (Ksh)]]</f>
        <v>710</v>
      </c>
      <c r="J35" s="30">
        <f>IF(tblProducts[[#This Row],[Rating]]="","",tblProducts[[#This Row],[Rating]]+tblProducts[[#This Row],[Review]]/1000000+ROW()/100000000)</f>
        <v>4.70002035</v>
      </c>
      <c r="K35" s="30">
        <f>IF(tblProducts[[#This Row],[Review]]="","",tblProducts[[#This Row],[Review]]+tblProducts[[#This Row],[Rating]]/1000)</f>
        <v>20.0047</v>
      </c>
      <c r="L35" s="31">
        <f>IF(tblProducts[[#This Row],[Discount]]="","",tblProducts[[#This Row],[Discount]]+tblProducts[[#This Row],[Review]]/1000000)</f>
        <v>0.27002000000000004</v>
      </c>
    </row>
    <row r="36" spans="1:12" x14ac:dyDescent="0.3">
      <c r="A36" s="29" t="s">
        <v>114</v>
      </c>
      <c r="B36" s="43">
        <v>1980</v>
      </c>
      <c r="C36" s="43">
        <v>2699</v>
      </c>
      <c r="D36" s="44">
        <v>0.27</v>
      </c>
      <c r="E36" s="45">
        <v>32</v>
      </c>
      <c r="F36" s="30">
        <v>4.5</v>
      </c>
      <c r="G36" s="30" t="str">
        <f>IF(tblProducts[[#This Row],[Rating]]="","Missing",IF(tblProducts[[#This Row],[Rating]]&lt;3,"Poor",IF(tblProducts[[#This Row],[Rating]]&lt;=4.5,"Average","Excellent")))</f>
        <v>Average</v>
      </c>
      <c r="H36" s="30" t="str">
        <f>IF(tblProducts[[#This Row],[Discount]]="","Missing",IF(tblProducts[[#This Row],[Discount]]&lt;20%,"Low Discount",IF(tblProducts[[#This Row],[Discount]]&lt;=40%,"Medium Discount","High Discount")))</f>
        <v>Medium Discount</v>
      </c>
      <c r="I36" s="43">
        <f>tblProducts[[#This Row],[old price (Ksh)]]-tblProducts[[#This Row],[Current price (Ksh)]]</f>
        <v>719</v>
      </c>
      <c r="J36" s="30">
        <f>IF(tblProducts[[#This Row],[Rating]]="","",tblProducts[[#This Row],[Rating]]+tblProducts[[#This Row],[Review]]/1000000+ROW()/100000000)</f>
        <v>4.5000323599999996</v>
      </c>
      <c r="K36" s="30">
        <f>IF(tblProducts[[#This Row],[Review]]="","",tblProducts[[#This Row],[Review]]+tblProducts[[#This Row],[Rating]]/1000)</f>
        <v>32.0045</v>
      </c>
      <c r="L36" s="31">
        <f>IF(tblProducts[[#This Row],[Discount]]="","",tblProducts[[#This Row],[Discount]]+tblProducts[[#This Row],[Review]]/1000000)</f>
        <v>0.27003199999999999</v>
      </c>
    </row>
    <row r="37" spans="1:12" x14ac:dyDescent="0.3">
      <c r="A37" s="29" t="s">
        <v>117</v>
      </c>
      <c r="B37" s="43">
        <v>1620</v>
      </c>
      <c r="C37" s="43">
        <v>2690</v>
      </c>
      <c r="D37" s="44">
        <v>0.4</v>
      </c>
      <c r="E37" s="45">
        <v>1</v>
      </c>
      <c r="F37" s="30">
        <v>5</v>
      </c>
      <c r="G37" s="30" t="str">
        <f>IF(tblProducts[[#This Row],[Rating]]="","Missing",IF(tblProducts[[#This Row],[Rating]]&lt;3,"Poor",IF(tblProducts[[#This Row],[Rating]]&lt;=4.5,"Average","Excellent")))</f>
        <v>Excellent</v>
      </c>
      <c r="H37" s="30" t="str">
        <f>IF(tblProducts[[#This Row],[Discount]]="","Missing",IF(tblProducts[[#This Row],[Discount]]&lt;20%,"Low Discount",IF(tblProducts[[#This Row],[Discount]]&lt;=40%,"Medium Discount","High Discount")))</f>
        <v>Medium Discount</v>
      </c>
      <c r="I37" s="43">
        <f>tblProducts[[#This Row],[old price (Ksh)]]-tblProducts[[#This Row],[Current price (Ksh)]]</f>
        <v>1070</v>
      </c>
      <c r="J37" s="30">
        <f>IF(tblProducts[[#This Row],[Rating]]="","",tblProducts[[#This Row],[Rating]]+tblProducts[[#This Row],[Review]]/1000000+ROW()/100000000)</f>
        <v>5.0000013700000006</v>
      </c>
      <c r="K37" s="30">
        <f>IF(tblProducts[[#This Row],[Review]]="","",tblProducts[[#This Row],[Review]]+tblProducts[[#This Row],[Rating]]/1000)</f>
        <v>1.0049999999999999</v>
      </c>
      <c r="L37" s="31">
        <f>IF(tblProducts[[#This Row],[Discount]]="","",tblProducts[[#This Row],[Discount]]+tblProducts[[#This Row],[Review]]/1000000)</f>
        <v>0.400001</v>
      </c>
    </row>
    <row r="38" spans="1:12" x14ac:dyDescent="0.3">
      <c r="A38" s="29" t="s">
        <v>120</v>
      </c>
      <c r="B38" s="43">
        <v>171</v>
      </c>
      <c r="C38" s="43">
        <v>360</v>
      </c>
      <c r="D38" s="44">
        <v>0.53</v>
      </c>
      <c r="E38" s="45">
        <v>2</v>
      </c>
      <c r="F38" s="30">
        <v>5</v>
      </c>
      <c r="G38" s="30" t="str">
        <f>IF(tblProducts[[#This Row],[Rating]]="","Missing",IF(tblProducts[[#This Row],[Rating]]&lt;3,"Poor",IF(tblProducts[[#This Row],[Rating]]&lt;=4.5,"Average","Excellent")))</f>
        <v>Excellent</v>
      </c>
      <c r="H38" s="30" t="str">
        <f>IF(tblProducts[[#This Row],[Discount]]="","Missing",IF(tblProducts[[#This Row],[Discount]]&lt;20%,"Low Discount",IF(tblProducts[[#This Row],[Discount]]&lt;=40%,"Medium Discount","High Discount")))</f>
        <v>High Discount</v>
      </c>
      <c r="I38" s="43">
        <f>tblProducts[[#This Row],[old price (Ksh)]]-tblProducts[[#This Row],[Current price (Ksh)]]</f>
        <v>189</v>
      </c>
      <c r="J38" s="30">
        <f>IF(tblProducts[[#This Row],[Rating]]="","",tblProducts[[#This Row],[Rating]]+tblProducts[[#This Row],[Review]]/1000000+ROW()/100000000)</f>
        <v>5.0000023800000006</v>
      </c>
      <c r="K38" s="30">
        <f>IF(tblProducts[[#This Row],[Review]]="","",tblProducts[[#This Row],[Review]]+tblProducts[[#This Row],[Rating]]/1000)</f>
        <v>2.0049999999999999</v>
      </c>
      <c r="L38" s="31">
        <f>IF(tblProducts[[#This Row],[Discount]]="","",tblProducts[[#This Row],[Discount]]+tblProducts[[#This Row],[Review]]/1000000)</f>
        <v>0.53000199999999997</v>
      </c>
    </row>
    <row r="39" spans="1:12" x14ac:dyDescent="0.3">
      <c r="A39" s="29" t="s">
        <v>332</v>
      </c>
      <c r="B39" s="43">
        <v>389</v>
      </c>
      <c r="C39" s="43">
        <v>656</v>
      </c>
      <c r="D39" s="44">
        <v>0.41</v>
      </c>
      <c r="E39" s="45">
        <v>36</v>
      </c>
      <c r="F39" s="30">
        <v>4.3</v>
      </c>
      <c r="G39" s="30" t="str">
        <f>IF(tblProducts[[#This Row],[Rating]]="","Missing",IF(tblProducts[[#This Row],[Rating]]&lt;3,"Poor",IF(tblProducts[[#This Row],[Rating]]&lt;=4.5,"Average","Excellent")))</f>
        <v>Average</v>
      </c>
      <c r="H39" s="30" t="str">
        <f>IF(tblProducts[[#This Row],[Discount]]="","Missing",IF(tblProducts[[#This Row],[Discount]]&lt;20%,"Low Discount",IF(tblProducts[[#This Row],[Discount]]&lt;=40%,"Medium Discount","High Discount")))</f>
        <v>High Discount</v>
      </c>
      <c r="I39" s="43">
        <f>tblProducts[[#This Row],[old price (Ksh)]]-tblProducts[[#This Row],[Current price (Ksh)]]</f>
        <v>267</v>
      </c>
      <c r="J39" s="30">
        <f>IF(tblProducts[[#This Row],[Rating]]="","",tblProducts[[#This Row],[Rating]]+tblProducts[[#This Row],[Review]]/1000000+ROW()/100000000)</f>
        <v>4.3000363899999998</v>
      </c>
      <c r="K39" s="30">
        <f>IF(tblProducts[[#This Row],[Review]]="","",tblProducts[[#This Row],[Review]]+tblProducts[[#This Row],[Rating]]/1000)</f>
        <v>36.004300000000001</v>
      </c>
      <c r="L39" s="31">
        <f>IF(tblProducts[[#This Row],[Discount]]="","",tblProducts[[#This Row],[Discount]]+tblProducts[[#This Row],[Review]]/1000000)</f>
        <v>0.41003599999999996</v>
      </c>
    </row>
    <row r="40" spans="1:12" x14ac:dyDescent="0.3">
      <c r="A40" s="29" t="s">
        <v>125</v>
      </c>
      <c r="B40" s="43">
        <v>1620</v>
      </c>
      <c r="C40" s="43">
        <v>2200</v>
      </c>
      <c r="D40" s="44">
        <v>0.38</v>
      </c>
      <c r="E40" s="45">
        <v>2</v>
      </c>
      <c r="F40" s="30">
        <v>4.5</v>
      </c>
      <c r="G40" s="30" t="str">
        <f>IF(tblProducts[[#This Row],[Rating]]="","Missing",IF(tblProducts[[#This Row],[Rating]]&lt;3,"Poor",IF(tblProducts[[#This Row],[Rating]]&lt;=4.5,"Average","Excellent")))</f>
        <v>Average</v>
      </c>
      <c r="H40" s="30" t="str">
        <f>IF(tblProducts[[#This Row],[Discount]]="","Missing",IF(tblProducts[[#This Row],[Discount]]&lt;20%,"Low Discount",IF(tblProducts[[#This Row],[Discount]]&lt;=40%,"Medium Discount","High Discount")))</f>
        <v>Medium Discount</v>
      </c>
      <c r="I40" s="43">
        <f>tblProducts[[#This Row],[old price (Ksh)]]-tblProducts[[#This Row],[Current price (Ksh)]]</f>
        <v>580</v>
      </c>
      <c r="J40" s="30">
        <f>IF(tblProducts[[#This Row],[Rating]]="","",tblProducts[[#This Row],[Rating]]+tblProducts[[#This Row],[Review]]/1000000+ROW()/100000000)</f>
        <v>4.5000024000000005</v>
      </c>
      <c r="K40" s="30">
        <f>IF(tblProducts[[#This Row],[Review]]="","",tblProducts[[#This Row],[Review]]+tblProducts[[#This Row],[Rating]]/1000)</f>
        <v>2.0045000000000002</v>
      </c>
      <c r="L40" s="31">
        <f>IF(tblProducts[[#This Row],[Discount]]="","",tblProducts[[#This Row],[Discount]]+tblProducts[[#This Row],[Review]]/1000000)</f>
        <v>0.38000200000000001</v>
      </c>
    </row>
    <row r="41" spans="1:12" x14ac:dyDescent="0.3">
      <c r="A41" s="29" t="s">
        <v>333</v>
      </c>
      <c r="B41" s="43">
        <v>2750</v>
      </c>
      <c r="C41" s="43">
        <v>4471</v>
      </c>
      <c r="D41" s="44">
        <v>0.38</v>
      </c>
      <c r="E41" s="45"/>
      <c r="F41" s="30" t="s">
        <v>371</v>
      </c>
      <c r="G41" s="30" t="str">
        <f>IF(tblProducts[[#This Row],[Rating]]="","Missing",IF(tblProducts[[#This Row],[Rating]]&lt;3,"Poor",IF(tblProducts[[#This Row],[Rating]]&lt;=4.5,"Average","Excellent")))</f>
        <v>Missing</v>
      </c>
      <c r="H41" s="30" t="str">
        <f>IF(tblProducts[[#This Row],[Discount]]="","Missing",IF(tblProducts[[#This Row],[Discount]]&lt;20%,"Low Discount",IF(tblProducts[[#This Row],[Discount]]&lt;=40%,"Medium Discount","High Discount")))</f>
        <v>Medium Discount</v>
      </c>
      <c r="I41" s="43">
        <f>tblProducts[[#This Row],[old price (Ksh)]]-tblProducts[[#This Row],[Current price (Ksh)]]</f>
        <v>1721</v>
      </c>
      <c r="J41" s="30" t="str">
        <f>IF(tblProducts[[#This Row],[Rating]]="","",tblProducts[[#This Row],[Rating]]+tblProducts[[#This Row],[Review]]/1000000+ROW()/100000000)</f>
        <v/>
      </c>
      <c r="K41" s="30" t="str">
        <f>IF(tblProducts[[#This Row],[Review]]="","",tblProducts[[#This Row],[Review]]+tblProducts[[#This Row],[Rating]]/1000)</f>
        <v/>
      </c>
      <c r="L41" s="31">
        <f>IF(tblProducts[[#This Row],[Discount]]="","",tblProducts[[#This Row],[Discount]]+tblProducts[[#This Row],[Review]]/1000000)</f>
        <v>0.38</v>
      </c>
    </row>
    <row r="42" spans="1:12" x14ac:dyDescent="0.3">
      <c r="A42" s="29" t="s">
        <v>131</v>
      </c>
      <c r="B42" s="43">
        <v>475</v>
      </c>
      <c r="C42" s="43">
        <v>931</v>
      </c>
      <c r="D42" s="44">
        <v>0.49</v>
      </c>
      <c r="E42" s="45"/>
      <c r="F42" s="30" t="s">
        <v>371</v>
      </c>
      <c r="G42" s="30" t="str">
        <f>IF(tblProducts[[#This Row],[Rating]]="","Missing",IF(tblProducts[[#This Row],[Rating]]&lt;3,"Poor",IF(tblProducts[[#This Row],[Rating]]&lt;=4.5,"Average","Excellent")))</f>
        <v>Missing</v>
      </c>
      <c r="H42" s="30" t="str">
        <f>IF(tblProducts[[#This Row],[Discount]]="","Missing",IF(tblProducts[[#This Row],[Discount]]&lt;20%,"Low Discount",IF(tblProducts[[#This Row],[Discount]]&lt;=40%,"Medium Discount","High Discount")))</f>
        <v>High Discount</v>
      </c>
      <c r="I42" s="43">
        <f>tblProducts[[#This Row],[old price (Ksh)]]-tblProducts[[#This Row],[Current price (Ksh)]]</f>
        <v>456</v>
      </c>
      <c r="J42" s="30" t="str">
        <f>IF(tblProducts[[#This Row],[Rating]]="","",tblProducts[[#This Row],[Rating]]+tblProducts[[#This Row],[Review]]/1000000+ROW()/100000000)</f>
        <v/>
      </c>
      <c r="K42" s="30" t="str">
        <f>IF(tblProducts[[#This Row],[Review]]="","",tblProducts[[#This Row],[Review]]+tblProducts[[#This Row],[Rating]]/1000)</f>
        <v/>
      </c>
      <c r="L42" s="31">
        <f>IF(tblProducts[[#This Row],[Discount]]="","",tblProducts[[#This Row],[Discount]]+tblProducts[[#This Row],[Review]]/1000000)</f>
        <v>0.49</v>
      </c>
    </row>
    <row r="43" spans="1:12" x14ac:dyDescent="0.3">
      <c r="A43" s="29" t="s">
        <v>334</v>
      </c>
      <c r="B43" s="43">
        <v>238</v>
      </c>
      <c r="C43" s="43">
        <v>476</v>
      </c>
      <c r="D43" s="44">
        <v>0.5</v>
      </c>
      <c r="E43" s="45"/>
      <c r="F43" s="30" t="s">
        <v>371</v>
      </c>
      <c r="G43" s="30" t="str">
        <f>IF(tblProducts[[#This Row],[Rating]]="","Missing",IF(tblProducts[[#This Row],[Rating]]&lt;3,"Poor",IF(tblProducts[[#This Row],[Rating]]&lt;=4.5,"Average","Excellent")))</f>
        <v>Missing</v>
      </c>
      <c r="H43" s="30" t="str">
        <f>IF(tblProducts[[#This Row],[Discount]]="","Missing",IF(tblProducts[[#This Row],[Discount]]&lt;20%,"Low Discount",IF(tblProducts[[#This Row],[Discount]]&lt;=40%,"Medium Discount","High Discount")))</f>
        <v>High Discount</v>
      </c>
      <c r="I43" s="43">
        <f>tblProducts[[#This Row],[old price (Ksh)]]-tblProducts[[#This Row],[Current price (Ksh)]]</f>
        <v>238</v>
      </c>
      <c r="J43" s="30" t="str">
        <f>IF(tblProducts[[#This Row],[Rating]]="","",tblProducts[[#This Row],[Rating]]+tblProducts[[#This Row],[Review]]/1000000+ROW()/100000000)</f>
        <v/>
      </c>
      <c r="K43" s="30" t="str">
        <f>IF(tblProducts[[#This Row],[Review]]="","",tblProducts[[#This Row],[Review]]+tblProducts[[#This Row],[Rating]]/1000)</f>
        <v/>
      </c>
      <c r="L43" s="31">
        <f>IF(tblProducts[[#This Row],[Discount]]="","",tblProducts[[#This Row],[Discount]]+tblProducts[[#This Row],[Review]]/1000000)</f>
        <v>0.5</v>
      </c>
    </row>
    <row r="44" spans="1:12" x14ac:dyDescent="0.3">
      <c r="A44" s="29" t="s">
        <v>335</v>
      </c>
      <c r="B44" s="43">
        <v>610</v>
      </c>
      <c r="C44" s="43">
        <v>1060</v>
      </c>
      <c r="D44" s="44">
        <v>0.42</v>
      </c>
      <c r="E44" s="45"/>
      <c r="F44" s="30" t="s">
        <v>371</v>
      </c>
      <c r="G44" s="30" t="str">
        <f>IF(tblProducts[[#This Row],[Rating]]="","Missing",IF(tblProducts[[#This Row],[Rating]]&lt;3,"Poor",IF(tblProducts[[#This Row],[Rating]]&lt;=4.5,"Average","Excellent")))</f>
        <v>Missing</v>
      </c>
      <c r="H44" s="30" t="str">
        <f>IF(tblProducts[[#This Row],[Discount]]="","Missing",IF(tblProducts[[#This Row],[Discount]]&lt;20%,"Low Discount",IF(tblProducts[[#This Row],[Discount]]&lt;=40%,"Medium Discount","High Discount")))</f>
        <v>High Discount</v>
      </c>
      <c r="I44" s="43">
        <f>tblProducts[[#This Row],[old price (Ksh)]]-tblProducts[[#This Row],[Current price (Ksh)]]</f>
        <v>450</v>
      </c>
      <c r="J44" s="30" t="str">
        <f>IF(tblProducts[[#This Row],[Rating]]="","",tblProducts[[#This Row],[Rating]]+tblProducts[[#This Row],[Review]]/1000000+ROW()/100000000)</f>
        <v/>
      </c>
      <c r="K44" s="30" t="str">
        <f>IF(tblProducts[[#This Row],[Review]]="","",tblProducts[[#This Row],[Review]]+tblProducts[[#This Row],[Rating]]/1000)</f>
        <v/>
      </c>
      <c r="L44" s="31">
        <f>IF(tblProducts[[#This Row],[Discount]]="","",tblProducts[[#This Row],[Discount]]+tblProducts[[#This Row],[Review]]/1000000)</f>
        <v>0.42</v>
      </c>
    </row>
    <row r="45" spans="1:12" x14ac:dyDescent="0.3">
      <c r="A45" s="29" t="s">
        <v>335</v>
      </c>
      <c r="B45" s="43">
        <v>610</v>
      </c>
      <c r="C45" s="43">
        <v>1060</v>
      </c>
      <c r="D45" s="44">
        <v>0.42</v>
      </c>
      <c r="E45" s="45"/>
      <c r="F45" s="30" t="s">
        <v>371</v>
      </c>
      <c r="G45" s="30" t="str">
        <f>IF(tblProducts[[#This Row],[Rating]]="","Missing",IF(tblProducts[[#This Row],[Rating]]&lt;3,"Poor",IF(tblProducts[[#This Row],[Rating]]&lt;=4.5,"Average","Excellent")))</f>
        <v>Missing</v>
      </c>
      <c r="H45" s="30" t="str">
        <f>IF(tblProducts[[#This Row],[Discount]]="","Missing",IF(tblProducts[[#This Row],[Discount]]&lt;20%,"Low Discount",IF(tblProducts[[#This Row],[Discount]]&lt;=40%,"Medium Discount","High Discount")))</f>
        <v>High Discount</v>
      </c>
      <c r="I45" s="43">
        <f>tblProducts[[#This Row],[old price (Ksh)]]-tblProducts[[#This Row],[Current price (Ksh)]]</f>
        <v>450</v>
      </c>
      <c r="J45" s="30" t="str">
        <f>IF(tblProducts[[#This Row],[Rating]]="","",tblProducts[[#This Row],[Rating]]+tblProducts[[#This Row],[Review]]/1000000+ROW()/100000000)</f>
        <v/>
      </c>
      <c r="K45" s="30" t="str">
        <f>IF(tblProducts[[#This Row],[Review]]="","",tblProducts[[#This Row],[Review]]+tblProducts[[#This Row],[Rating]]/1000)</f>
        <v/>
      </c>
      <c r="L45" s="31">
        <f>IF(tblProducts[[#This Row],[Discount]]="","",tblProducts[[#This Row],[Discount]]+tblProducts[[#This Row],[Review]]/1000000)</f>
        <v>0.42</v>
      </c>
    </row>
    <row r="46" spans="1:12" x14ac:dyDescent="0.3">
      <c r="A46" s="29" t="s">
        <v>140</v>
      </c>
      <c r="B46" s="43">
        <v>2132</v>
      </c>
      <c r="C46" s="43">
        <v>2169</v>
      </c>
      <c r="D46" s="44">
        <v>0.02</v>
      </c>
      <c r="E46" s="45"/>
      <c r="F46" s="30" t="s">
        <v>371</v>
      </c>
      <c r="G46" s="30" t="str">
        <f>IF(tblProducts[[#This Row],[Rating]]="","Missing",IF(tblProducts[[#This Row],[Rating]]&lt;3,"Poor",IF(tblProducts[[#This Row],[Rating]]&lt;=4.5,"Average","Excellent")))</f>
        <v>Missing</v>
      </c>
      <c r="H46" s="30" t="str">
        <f>IF(tblProducts[[#This Row],[Discount]]="","Missing",IF(tblProducts[[#This Row],[Discount]]&lt;20%,"Low Discount",IF(tblProducts[[#This Row],[Discount]]&lt;=40%,"Medium Discount","High Discount")))</f>
        <v>Low Discount</v>
      </c>
      <c r="I46" s="43">
        <f>tblProducts[[#This Row],[old price (Ksh)]]-tblProducts[[#This Row],[Current price (Ksh)]]</f>
        <v>37</v>
      </c>
      <c r="J46" s="30" t="str">
        <f>IF(tblProducts[[#This Row],[Rating]]="","",tblProducts[[#This Row],[Rating]]+tblProducts[[#This Row],[Review]]/1000000+ROW()/100000000)</f>
        <v/>
      </c>
      <c r="K46" s="30" t="str">
        <f>IF(tblProducts[[#This Row],[Review]]="","",tblProducts[[#This Row],[Review]]+tblProducts[[#This Row],[Rating]]/1000)</f>
        <v/>
      </c>
      <c r="L46" s="31">
        <f>IF(tblProducts[[#This Row],[Discount]]="","",tblProducts[[#This Row],[Discount]]+tblProducts[[#This Row],[Review]]/1000000)</f>
        <v>0.02</v>
      </c>
    </row>
    <row r="47" spans="1:12" x14ac:dyDescent="0.3">
      <c r="A47" s="29" t="s">
        <v>143</v>
      </c>
      <c r="B47" s="43">
        <v>999</v>
      </c>
      <c r="C47" s="43">
        <v>2000</v>
      </c>
      <c r="D47" s="44">
        <v>0.5</v>
      </c>
      <c r="E47" s="45"/>
      <c r="F47" s="30" t="s">
        <v>371</v>
      </c>
      <c r="G47" s="30" t="str">
        <f>IF(tblProducts[[#This Row],[Rating]]="","Missing",IF(tblProducts[[#This Row],[Rating]]&lt;3,"Poor",IF(tblProducts[[#This Row],[Rating]]&lt;=4.5,"Average","Excellent")))</f>
        <v>Missing</v>
      </c>
      <c r="H47" s="30" t="str">
        <f>IF(tblProducts[[#This Row],[Discount]]="","Missing",IF(tblProducts[[#This Row],[Discount]]&lt;20%,"Low Discount",IF(tblProducts[[#This Row],[Discount]]&lt;=40%,"Medium Discount","High Discount")))</f>
        <v>High Discount</v>
      </c>
      <c r="I47" s="43">
        <f>tblProducts[[#This Row],[old price (Ksh)]]-tblProducts[[#This Row],[Current price (Ksh)]]</f>
        <v>1001</v>
      </c>
      <c r="J47" s="30" t="str">
        <f>IF(tblProducts[[#This Row],[Rating]]="","",tblProducts[[#This Row],[Rating]]+tblProducts[[#This Row],[Review]]/1000000+ROW()/100000000)</f>
        <v/>
      </c>
      <c r="K47" s="30" t="str">
        <f>IF(tblProducts[[#This Row],[Review]]="","",tblProducts[[#This Row],[Review]]+tblProducts[[#This Row],[Rating]]/1000)</f>
        <v/>
      </c>
      <c r="L47" s="31">
        <f>IF(tblProducts[[#This Row],[Discount]]="","",tblProducts[[#This Row],[Discount]]+tblProducts[[#This Row],[Review]]/1000000)</f>
        <v>0.5</v>
      </c>
    </row>
    <row r="48" spans="1:12" x14ac:dyDescent="0.3">
      <c r="A48" s="29" t="s">
        <v>145</v>
      </c>
      <c r="B48" s="43">
        <v>1190</v>
      </c>
      <c r="C48" s="43">
        <v>1785</v>
      </c>
      <c r="D48" s="44">
        <v>0.33</v>
      </c>
      <c r="E48" s="45"/>
      <c r="F48" s="30" t="s">
        <v>371</v>
      </c>
      <c r="G48" s="30" t="str">
        <f>IF(tblProducts[[#This Row],[Rating]]="","Missing",IF(tblProducts[[#This Row],[Rating]]&lt;3,"Poor",IF(tblProducts[[#This Row],[Rating]]&lt;=4.5,"Average","Excellent")))</f>
        <v>Missing</v>
      </c>
      <c r="H48" s="30" t="str">
        <f>IF(tblProducts[[#This Row],[Discount]]="","Missing",IF(tblProducts[[#This Row],[Discount]]&lt;20%,"Low Discount",IF(tblProducts[[#This Row],[Discount]]&lt;=40%,"Medium Discount","High Discount")))</f>
        <v>Medium Discount</v>
      </c>
      <c r="I48" s="43">
        <f>tblProducts[[#This Row],[old price (Ksh)]]-tblProducts[[#This Row],[Current price (Ksh)]]</f>
        <v>595</v>
      </c>
      <c r="J48" s="30" t="str">
        <f>IF(tblProducts[[#This Row],[Rating]]="","",tblProducts[[#This Row],[Rating]]+tblProducts[[#This Row],[Review]]/1000000+ROW()/100000000)</f>
        <v/>
      </c>
      <c r="K48" s="30" t="str">
        <f>IF(tblProducts[[#This Row],[Review]]="","",tblProducts[[#This Row],[Review]]+tblProducts[[#This Row],[Rating]]/1000)</f>
        <v/>
      </c>
      <c r="L48" s="31">
        <f>IF(tblProducts[[#This Row],[Discount]]="","",tblProducts[[#This Row],[Discount]]+tblProducts[[#This Row],[Review]]/1000000)</f>
        <v>0.33</v>
      </c>
    </row>
    <row r="49" spans="1:12" x14ac:dyDescent="0.3">
      <c r="A49" s="29" t="s">
        <v>148</v>
      </c>
      <c r="B49" s="43">
        <v>671</v>
      </c>
      <c r="C49" s="43">
        <v>1316</v>
      </c>
      <c r="D49" s="44">
        <v>0.49</v>
      </c>
      <c r="E49" s="45"/>
      <c r="F49" s="30" t="s">
        <v>371</v>
      </c>
      <c r="G49" s="30" t="str">
        <f>IF(tblProducts[[#This Row],[Rating]]="","Missing",IF(tblProducts[[#This Row],[Rating]]&lt;3,"Poor",IF(tblProducts[[#This Row],[Rating]]&lt;=4.5,"Average","Excellent")))</f>
        <v>Missing</v>
      </c>
      <c r="H49" s="30" t="str">
        <f>IF(tblProducts[[#This Row],[Discount]]="","Missing",IF(tblProducts[[#This Row],[Discount]]&lt;20%,"Low Discount",IF(tblProducts[[#This Row],[Discount]]&lt;=40%,"Medium Discount","High Discount")))</f>
        <v>High Discount</v>
      </c>
      <c r="I49" s="43">
        <f>tblProducts[[#This Row],[old price (Ksh)]]-tblProducts[[#This Row],[Current price (Ksh)]]</f>
        <v>645</v>
      </c>
      <c r="J49" s="30" t="str">
        <f>IF(tblProducts[[#This Row],[Rating]]="","",tblProducts[[#This Row],[Rating]]+tblProducts[[#This Row],[Review]]/1000000+ROW()/100000000)</f>
        <v/>
      </c>
      <c r="K49" s="30" t="str">
        <f>IF(tblProducts[[#This Row],[Review]]="","",tblProducts[[#This Row],[Review]]+tblProducts[[#This Row],[Rating]]/1000)</f>
        <v/>
      </c>
      <c r="L49" s="31">
        <f>IF(tblProducts[[#This Row],[Discount]]="","",tblProducts[[#This Row],[Discount]]+tblProducts[[#This Row],[Review]]/1000000)</f>
        <v>0.49</v>
      </c>
    </row>
    <row r="50" spans="1:12" x14ac:dyDescent="0.3">
      <c r="A50" s="29" t="s">
        <v>336</v>
      </c>
      <c r="B50" s="43">
        <v>1200</v>
      </c>
      <c r="C50" s="43">
        <v>1950</v>
      </c>
      <c r="D50" s="44">
        <v>0.38</v>
      </c>
      <c r="E50" s="45"/>
      <c r="F50" s="30" t="s">
        <v>371</v>
      </c>
      <c r="G50" s="30" t="str">
        <f>IF(tblProducts[[#This Row],[Rating]]="","Missing",IF(tblProducts[[#This Row],[Rating]]&lt;3,"Poor",IF(tblProducts[[#This Row],[Rating]]&lt;=4.5,"Average","Excellent")))</f>
        <v>Missing</v>
      </c>
      <c r="H50" s="30" t="str">
        <f>IF(tblProducts[[#This Row],[Discount]]="","Missing",IF(tblProducts[[#This Row],[Discount]]&lt;20%,"Low Discount",IF(tblProducts[[#This Row],[Discount]]&lt;=40%,"Medium Discount","High Discount")))</f>
        <v>Medium Discount</v>
      </c>
      <c r="I50" s="43">
        <f>tblProducts[[#This Row],[old price (Ksh)]]-tblProducts[[#This Row],[Current price (Ksh)]]</f>
        <v>750</v>
      </c>
      <c r="J50" s="30" t="str">
        <f>IF(tblProducts[[#This Row],[Rating]]="","",tblProducts[[#This Row],[Rating]]+tblProducts[[#This Row],[Review]]/1000000+ROW()/100000000)</f>
        <v/>
      </c>
      <c r="K50" s="30" t="str">
        <f>IF(tblProducts[[#This Row],[Review]]="","",tblProducts[[#This Row],[Review]]+tblProducts[[#This Row],[Rating]]/1000)</f>
        <v/>
      </c>
      <c r="L50" s="31">
        <f>IF(tblProducts[[#This Row],[Discount]]="","",tblProducts[[#This Row],[Discount]]+tblProducts[[#This Row],[Review]]/1000000)</f>
        <v>0.38</v>
      </c>
    </row>
    <row r="51" spans="1:12" x14ac:dyDescent="0.3">
      <c r="A51" s="29" t="s">
        <v>154</v>
      </c>
      <c r="B51" s="43">
        <v>199</v>
      </c>
      <c r="C51" s="43">
        <v>504</v>
      </c>
      <c r="D51" s="44">
        <v>0.61</v>
      </c>
      <c r="E51" s="45"/>
      <c r="F51" s="30" t="s">
        <v>371</v>
      </c>
      <c r="G51" s="30" t="str">
        <f>IF(tblProducts[[#This Row],[Rating]]="","Missing",IF(tblProducts[[#This Row],[Rating]]&lt;3,"Poor",IF(tblProducts[[#This Row],[Rating]]&lt;=4.5,"Average","Excellent")))</f>
        <v>Missing</v>
      </c>
      <c r="H51" s="30" t="str">
        <f>IF(tblProducts[[#This Row],[Discount]]="","Missing",IF(tblProducts[[#This Row],[Discount]]&lt;20%,"Low Discount",IF(tblProducts[[#This Row],[Discount]]&lt;=40%,"Medium Discount","High Discount")))</f>
        <v>High Discount</v>
      </c>
      <c r="I51" s="43">
        <f>tblProducts[[#This Row],[old price (Ksh)]]-tblProducts[[#This Row],[Current price (Ksh)]]</f>
        <v>305</v>
      </c>
      <c r="J51" s="30" t="str">
        <f>IF(tblProducts[[#This Row],[Rating]]="","",tblProducts[[#This Row],[Rating]]+tblProducts[[#This Row],[Review]]/1000000+ROW()/100000000)</f>
        <v/>
      </c>
      <c r="K51" s="30" t="str">
        <f>IF(tblProducts[[#This Row],[Review]]="","",tblProducts[[#This Row],[Review]]+tblProducts[[#This Row],[Rating]]/1000)</f>
        <v/>
      </c>
      <c r="L51" s="31">
        <f>IF(tblProducts[[#This Row],[Discount]]="","",tblProducts[[#This Row],[Discount]]+tblProducts[[#This Row],[Review]]/1000000)</f>
        <v>0.61</v>
      </c>
    </row>
    <row r="52" spans="1:12" x14ac:dyDescent="0.3">
      <c r="A52" s="29" t="s">
        <v>157</v>
      </c>
      <c r="B52" s="43">
        <v>299</v>
      </c>
      <c r="C52" s="43">
        <v>600</v>
      </c>
      <c r="D52" s="44">
        <v>0.5</v>
      </c>
      <c r="E52" s="45"/>
      <c r="F52" s="30" t="s">
        <v>371</v>
      </c>
      <c r="G52" s="30" t="str">
        <f>IF(tblProducts[[#This Row],[Rating]]="","Missing",IF(tblProducts[[#This Row],[Rating]]&lt;3,"Poor",IF(tblProducts[[#This Row],[Rating]]&lt;=4.5,"Average","Excellent")))</f>
        <v>Missing</v>
      </c>
      <c r="H52" s="30" t="str">
        <f>IF(tblProducts[[#This Row],[Discount]]="","Missing",IF(tblProducts[[#This Row],[Discount]]&lt;20%,"Low Discount",IF(tblProducts[[#This Row],[Discount]]&lt;=40%,"Medium Discount","High Discount")))</f>
        <v>High Discount</v>
      </c>
      <c r="I52" s="43">
        <f>tblProducts[[#This Row],[old price (Ksh)]]-tblProducts[[#This Row],[Current price (Ksh)]]</f>
        <v>301</v>
      </c>
      <c r="J52" s="30" t="str">
        <f>IF(tblProducts[[#This Row],[Rating]]="","",tblProducts[[#This Row],[Rating]]+tblProducts[[#This Row],[Review]]/1000000+ROW()/100000000)</f>
        <v/>
      </c>
      <c r="K52" s="30" t="str">
        <f>IF(tblProducts[[#This Row],[Review]]="","",tblProducts[[#This Row],[Review]]+tblProducts[[#This Row],[Rating]]/1000)</f>
        <v/>
      </c>
      <c r="L52" s="31">
        <f>IF(tblProducts[[#This Row],[Discount]]="","",tblProducts[[#This Row],[Discount]]+tblProducts[[#This Row],[Review]]/1000000)</f>
        <v>0.5</v>
      </c>
    </row>
    <row r="53" spans="1:12" x14ac:dyDescent="0.3">
      <c r="A53" s="29" t="s">
        <v>160</v>
      </c>
      <c r="B53" s="43">
        <v>1660</v>
      </c>
      <c r="C53" s="43">
        <v>1699</v>
      </c>
      <c r="D53" s="44">
        <v>0.02</v>
      </c>
      <c r="E53" s="45"/>
      <c r="F53" s="30" t="s">
        <v>371</v>
      </c>
      <c r="G53" s="30" t="str">
        <f>IF(tblProducts[[#This Row],[Rating]]="","Missing",IF(tblProducts[[#This Row],[Rating]]&lt;3,"Poor",IF(tblProducts[[#This Row],[Rating]]&lt;=4.5,"Average","Excellent")))</f>
        <v>Missing</v>
      </c>
      <c r="H53" s="30" t="str">
        <f>IF(tblProducts[[#This Row],[Discount]]="","Missing",IF(tblProducts[[#This Row],[Discount]]&lt;20%,"Low Discount",IF(tblProducts[[#This Row],[Discount]]&lt;=40%,"Medium Discount","High Discount")))</f>
        <v>Low Discount</v>
      </c>
      <c r="I53" s="43">
        <f>tblProducts[[#This Row],[old price (Ksh)]]-tblProducts[[#This Row],[Current price (Ksh)]]</f>
        <v>39</v>
      </c>
      <c r="J53" s="30" t="str">
        <f>IF(tblProducts[[#This Row],[Rating]]="","",tblProducts[[#This Row],[Rating]]+tblProducts[[#This Row],[Review]]/1000000+ROW()/100000000)</f>
        <v/>
      </c>
      <c r="K53" s="30" t="str">
        <f>IF(tblProducts[[#This Row],[Review]]="","",tblProducts[[#This Row],[Review]]+tblProducts[[#This Row],[Rating]]/1000)</f>
        <v/>
      </c>
      <c r="L53" s="31">
        <f>IF(tblProducts[[#This Row],[Discount]]="","",tblProducts[[#This Row],[Discount]]+tblProducts[[#This Row],[Review]]/1000000)</f>
        <v>0.02</v>
      </c>
    </row>
    <row r="54" spans="1:12" x14ac:dyDescent="0.3">
      <c r="A54" s="29" t="s">
        <v>163</v>
      </c>
      <c r="B54" s="43">
        <v>299</v>
      </c>
      <c r="C54" s="43">
        <v>384</v>
      </c>
      <c r="D54" s="44">
        <v>0.22</v>
      </c>
      <c r="E54" s="45"/>
      <c r="F54" s="30" t="s">
        <v>371</v>
      </c>
      <c r="G54" s="30" t="str">
        <f>IF(tblProducts[[#This Row],[Rating]]="","Missing",IF(tblProducts[[#This Row],[Rating]]&lt;3,"Poor",IF(tblProducts[[#This Row],[Rating]]&lt;=4.5,"Average","Excellent")))</f>
        <v>Missing</v>
      </c>
      <c r="H54" s="30" t="str">
        <f>IF(tblProducts[[#This Row],[Discount]]="","Missing",IF(tblProducts[[#This Row],[Discount]]&lt;20%,"Low Discount",IF(tblProducts[[#This Row],[Discount]]&lt;=40%,"Medium Discount","High Discount")))</f>
        <v>Medium Discount</v>
      </c>
      <c r="I54" s="43">
        <f>tblProducts[[#This Row],[old price (Ksh)]]-tblProducts[[#This Row],[Current price (Ksh)]]</f>
        <v>85</v>
      </c>
      <c r="J54" s="30" t="str">
        <f>IF(tblProducts[[#This Row],[Rating]]="","",tblProducts[[#This Row],[Rating]]+tblProducts[[#This Row],[Review]]/1000000+ROW()/100000000)</f>
        <v/>
      </c>
      <c r="K54" s="30" t="str">
        <f>IF(tblProducts[[#This Row],[Review]]="","",tblProducts[[#This Row],[Review]]+tblProducts[[#This Row],[Rating]]/1000)</f>
        <v/>
      </c>
      <c r="L54" s="31">
        <f>IF(tblProducts[[#This Row],[Discount]]="","",tblProducts[[#This Row],[Discount]]+tblProducts[[#This Row],[Review]]/1000000)</f>
        <v>0.22</v>
      </c>
    </row>
    <row r="55" spans="1:12" x14ac:dyDescent="0.3">
      <c r="A55" s="29" t="s">
        <v>337</v>
      </c>
      <c r="B55" s="43">
        <v>1459</v>
      </c>
      <c r="C55" s="43">
        <v>1499</v>
      </c>
      <c r="D55" s="44">
        <v>0.03</v>
      </c>
      <c r="E55" s="45"/>
      <c r="F55" s="30" t="s">
        <v>371</v>
      </c>
      <c r="G55" s="30" t="str">
        <f>IF(tblProducts[[#This Row],[Rating]]="","Missing",IF(tblProducts[[#This Row],[Rating]]&lt;3,"Poor",IF(tblProducts[[#This Row],[Rating]]&lt;=4.5,"Average","Excellent")))</f>
        <v>Missing</v>
      </c>
      <c r="H55" s="30" t="str">
        <f>IF(tblProducts[[#This Row],[Discount]]="","Missing",IF(tblProducts[[#This Row],[Discount]]&lt;20%,"Low Discount",IF(tblProducts[[#This Row],[Discount]]&lt;=40%,"Medium Discount","High Discount")))</f>
        <v>Low Discount</v>
      </c>
      <c r="I55" s="43">
        <f>tblProducts[[#This Row],[old price (Ksh)]]-tblProducts[[#This Row],[Current price (Ksh)]]</f>
        <v>40</v>
      </c>
      <c r="J55" s="30" t="str">
        <f>IF(tblProducts[[#This Row],[Rating]]="","",tblProducts[[#This Row],[Rating]]+tblProducts[[#This Row],[Review]]/1000000+ROW()/100000000)</f>
        <v/>
      </c>
      <c r="K55" s="30" t="str">
        <f>IF(tblProducts[[#This Row],[Review]]="","",tblProducts[[#This Row],[Review]]+tblProducts[[#This Row],[Rating]]/1000)</f>
        <v/>
      </c>
      <c r="L55" s="31">
        <f>IF(tblProducts[[#This Row],[Discount]]="","",tblProducts[[#This Row],[Discount]]+tblProducts[[#This Row],[Review]]/1000000)</f>
        <v>0.03</v>
      </c>
    </row>
    <row r="56" spans="1:12" x14ac:dyDescent="0.3">
      <c r="A56" s="29" t="s">
        <v>168</v>
      </c>
      <c r="B56" s="43">
        <v>799</v>
      </c>
      <c r="C56" s="43">
        <v>1343</v>
      </c>
      <c r="D56" s="44">
        <v>0.41</v>
      </c>
      <c r="E56" s="45"/>
      <c r="F56" s="30" t="s">
        <v>371</v>
      </c>
      <c r="G56" s="30" t="str">
        <f>IF(tblProducts[[#This Row],[Rating]]="","Missing",IF(tblProducts[[#This Row],[Rating]]&lt;3,"Poor",IF(tblProducts[[#This Row],[Rating]]&lt;=4.5,"Average","Excellent")))</f>
        <v>Missing</v>
      </c>
      <c r="H56" s="30" t="str">
        <f>IF(tblProducts[[#This Row],[Discount]]="","Missing",IF(tblProducts[[#This Row],[Discount]]&lt;20%,"Low Discount",IF(tblProducts[[#This Row],[Discount]]&lt;=40%,"Medium Discount","High Discount")))</f>
        <v>High Discount</v>
      </c>
      <c r="I56" s="43">
        <f>tblProducts[[#This Row],[old price (Ksh)]]-tblProducts[[#This Row],[Current price (Ksh)]]</f>
        <v>544</v>
      </c>
      <c r="J56" s="30" t="str">
        <f>IF(tblProducts[[#This Row],[Rating]]="","",tblProducts[[#This Row],[Rating]]+tblProducts[[#This Row],[Review]]/1000000+ROW()/100000000)</f>
        <v/>
      </c>
      <c r="K56" s="30" t="str">
        <f>IF(tblProducts[[#This Row],[Review]]="","",tblProducts[[#This Row],[Review]]+tblProducts[[#This Row],[Rating]]/1000)</f>
        <v/>
      </c>
      <c r="L56" s="31">
        <f>IF(tblProducts[[#This Row],[Discount]]="","",tblProducts[[#This Row],[Discount]]+tblProducts[[#This Row],[Review]]/1000000)</f>
        <v>0.41</v>
      </c>
    </row>
    <row r="57" spans="1:12" x14ac:dyDescent="0.3">
      <c r="A57" s="29" t="s">
        <v>170</v>
      </c>
      <c r="B57" s="43">
        <v>499</v>
      </c>
      <c r="C57" s="43">
        <v>900</v>
      </c>
      <c r="D57" s="44">
        <v>0.45</v>
      </c>
      <c r="E57" s="45"/>
      <c r="F57" s="30" t="s">
        <v>371</v>
      </c>
      <c r="G57" s="30" t="str">
        <f>IF(tblProducts[[#This Row],[Rating]]="","Missing",IF(tblProducts[[#This Row],[Rating]]&lt;3,"Poor",IF(tblProducts[[#This Row],[Rating]]&lt;=4.5,"Average","Excellent")))</f>
        <v>Missing</v>
      </c>
      <c r="H57" s="30" t="str">
        <f>IF(tblProducts[[#This Row],[Discount]]="","Missing",IF(tblProducts[[#This Row],[Discount]]&lt;20%,"Low Discount",IF(tblProducts[[#This Row],[Discount]]&lt;=40%,"Medium Discount","High Discount")))</f>
        <v>High Discount</v>
      </c>
      <c r="I57" s="43">
        <f>tblProducts[[#This Row],[old price (Ksh)]]-tblProducts[[#This Row],[Current price (Ksh)]]</f>
        <v>401</v>
      </c>
      <c r="J57" s="30" t="str">
        <f>IF(tblProducts[[#This Row],[Rating]]="","",tblProducts[[#This Row],[Rating]]+tblProducts[[#This Row],[Review]]/1000000+ROW()/100000000)</f>
        <v/>
      </c>
      <c r="K57" s="30" t="str">
        <f>IF(tblProducts[[#This Row],[Review]]="","",tblProducts[[#This Row],[Review]]+tblProducts[[#This Row],[Rating]]/1000)</f>
        <v/>
      </c>
      <c r="L57" s="31">
        <f>IF(tblProducts[[#This Row],[Discount]]="","",tblProducts[[#This Row],[Discount]]+tblProducts[[#This Row],[Review]]/1000000)</f>
        <v>0.45</v>
      </c>
    </row>
    <row r="58" spans="1:12" x14ac:dyDescent="0.3">
      <c r="A58" s="29" t="s">
        <v>173</v>
      </c>
      <c r="B58" s="43">
        <v>699</v>
      </c>
      <c r="C58" s="43">
        <v>1343</v>
      </c>
      <c r="D58" s="44">
        <v>0.48</v>
      </c>
      <c r="E58" s="45"/>
      <c r="F58" s="30" t="s">
        <v>371</v>
      </c>
      <c r="G58" s="30" t="str">
        <f>IF(tblProducts[[#This Row],[Rating]]="","Missing",IF(tblProducts[[#This Row],[Rating]]&lt;3,"Poor",IF(tblProducts[[#This Row],[Rating]]&lt;=4.5,"Average","Excellent")))</f>
        <v>Missing</v>
      </c>
      <c r="H58" s="30" t="str">
        <f>IF(tblProducts[[#This Row],[Discount]]="","Missing",IF(tblProducts[[#This Row],[Discount]]&lt;20%,"Low Discount",IF(tblProducts[[#This Row],[Discount]]&lt;=40%,"Medium Discount","High Discount")))</f>
        <v>High Discount</v>
      </c>
      <c r="I58" s="43">
        <f>tblProducts[[#This Row],[old price (Ksh)]]-tblProducts[[#This Row],[Current price (Ksh)]]</f>
        <v>644</v>
      </c>
      <c r="J58" s="30" t="str">
        <f>IF(tblProducts[[#This Row],[Rating]]="","",tblProducts[[#This Row],[Rating]]+tblProducts[[#This Row],[Review]]/1000000+ROW()/100000000)</f>
        <v/>
      </c>
      <c r="K58" s="30" t="str">
        <f>IF(tblProducts[[#This Row],[Review]]="","",tblProducts[[#This Row],[Review]]+tblProducts[[#This Row],[Rating]]/1000)</f>
        <v/>
      </c>
      <c r="L58" s="31">
        <f>IF(tblProducts[[#This Row],[Discount]]="","",tblProducts[[#This Row],[Discount]]+tblProducts[[#This Row],[Review]]/1000000)</f>
        <v>0.48</v>
      </c>
    </row>
    <row r="59" spans="1:12" x14ac:dyDescent="0.3">
      <c r="A59" s="29" t="s">
        <v>175</v>
      </c>
      <c r="B59" s="43">
        <v>799</v>
      </c>
      <c r="C59" s="43">
        <v>1567</v>
      </c>
      <c r="D59" s="44">
        <v>0.49</v>
      </c>
      <c r="E59" s="45"/>
      <c r="F59" s="30" t="s">
        <v>371</v>
      </c>
      <c r="G59" s="30" t="str">
        <f>IF(tblProducts[[#This Row],[Rating]]="","Missing",IF(tblProducts[[#This Row],[Rating]]&lt;3,"Poor",IF(tblProducts[[#This Row],[Rating]]&lt;=4.5,"Average","Excellent")))</f>
        <v>Missing</v>
      </c>
      <c r="H59" s="30" t="str">
        <f>IF(tblProducts[[#This Row],[Discount]]="","Missing",IF(tblProducts[[#This Row],[Discount]]&lt;20%,"Low Discount",IF(tblProducts[[#This Row],[Discount]]&lt;=40%,"Medium Discount","High Discount")))</f>
        <v>High Discount</v>
      </c>
      <c r="I59" s="43">
        <f>tblProducts[[#This Row],[old price (Ksh)]]-tblProducts[[#This Row],[Current price (Ksh)]]</f>
        <v>768</v>
      </c>
      <c r="J59" s="30" t="str">
        <f>IF(tblProducts[[#This Row],[Rating]]="","",tblProducts[[#This Row],[Rating]]+tblProducts[[#This Row],[Review]]/1000000+ROW()/100000000)</f>
        <v/>
      </c>
      <c r="K59" s="30" t="str">
        <f>IF(tblProducts[[#This Row],[Review]]="","",tblProducts[[#This Row],[Review]]+tblProducts[[#This Row],[Rating]]/1000)</f>
        <v/>
      </c>
      <c r="L59" s="31">
        <f>IF(tblProducts[[#This Row],[Discount]]="","",tblProducts[[#This Row],[Discount]]+tblProducts[[#This Row],[Review]]/1000000)</f>
        <v>0.49</v>
      </c>
    </row>
    <row r="60" spans="1:12" x14ac:dyDescent="0.3">
      <c r="A60" s="29" t="s">
        <v>365</v>
      </c>
      <c r="B60" s="43">
        <v>2799</v>
      </c>
      <c r="C60" s="43">
        <v>3810</v>
      </c>
      <c r="D60" s="44">
        <v>0.27</v>
      </c>
      <c r="E60" s="45"/>
      <c r="F60" s="30" t="s">
        <v>371</v>
      </c>
      <c r="G60" s="30" t="str">
        <f>IF(tblProducts[[#This Row],[Rating]]="","Missing",IF(tblProducts[[#This Row],[Rating]]&lt;3,"Poor",IF(tblProducts[[#This Row],[Rating]]&lt;=4.5,"Average","Excellent")))</f>
        <v>Missing</v>
      </c>
      <c r="H60" s="30" t="str">
        <f>IF(tblProducts[[#This Row],[Discount]]="","Missing",IF(tblProducts[[#This Row],[Discount]]&lt;20%,"Low Discount",IF(tblProducts[[#This Row],[Discount]]&lt;=40%,"Medium Discount","High Discount")))</f>
        <v>Medium Discount</v>
      </c>
      <c r="I60" s="43">
        <f>tblProducts[[#This Row],[old price (Ksh)]]-tblProducts[[#This Row],[Current price (Ksh)]]</f>
        <v>1011</v>
      </c>
      <c r="J60" s="30" t="str">
        <f>IF(tblProducts[[#This Row],[Rating]]="","",tblProducts[[#This Row],[Rating]]+tblProducts[[#This Row],[Review]]/1000000+ROW()/100000000)</f>
        <v/>
      </c>
      <c r="K60" s="30" t="str">
        <f>IF(tblProducts[[#This Row],[Review]]="","",tblProducts[[#This Row],[Review]]+tblProducts[[#This Row],[Rating]]/1000)</f>
        <v/>
      </c>
      <c r="L60" s="31">
        <f>IF(tblProducts[[#This Row],[Discount]]="","",tblProducts[[#This Row],[Discount]]+tblProducts[[#This Row],[Review]]/1000000)</f>
        <v>0.27</v>
      </c>
    </row>
    <row r="61" spans="1:12" x14ac:dyDescent="0.3">
      <c r="A61" s="29" t="s">
        <v>170</v>
      </c>
      <c r="B61" s="43">
        <v>399</v>
      </c>
      <c r="C61" s="43">
        <v>896</v>
      </c>
      <c r="D61" s="44">
        <v>0.55000000000000004</v>
      </c>
      <c r="E61" s="45"/>
      <c r="F61" s="30" t="s">
        <v>371</v>
      </c>
      <c r="G61" s="30" t="str">
        <f>IF(tblProducts[[#This Row],[Rating]]="","Missing",IF(tblProducts[[#This Row],[Rating]]&lt;3,"Poor",IF(tblProducts[[#This Row],[Rating]]&lt;=4.5,"Average","Excellent")))</f>
        <v>Missing</v>
      </c>
      <c r="H61" s="30" t="str">
        <f>IF(tblProducts[[#This Row],[Discount]]="","Missing",IF(tblProducts[[#This Row],[Discount]]&lt;20%,"Low Discount",IF(tblProducts[[#This Row],[Discount]]&lt;=40%,"Medium Discount","High Discount")))</f>
        <v>High Discount</v>
      </c>
      <c r="I61" s="43">
        <f>tblProducts[[#This Row],[old price (Ksh)]]-tblProducts[[#This Row],[Current price (Ksh)]]</f>
        <v>497</v>
      </c>
      <c r="J61" s="30" t="str">
        <f>IF(tblProducts[[#This Row],[Rating]]="","",tblProducts[[#This Row],[Rating]]+tblProducts[[#This Row],[Review]]/1000000+ROW()/100000000)</f>
        <v/>
      </c>
      <c r="K61" s="30" t="str">
        <f>IF(tblProducts[[#This Row],[Review]]="","",tblProducts[[#This Row],[Review]]+tblProducts[[#This Row],[Rating]]/1000)</f>
        <v/>
      </c>
      <c r="L61" s="31">
        <f>IF(tblProducts[[#This Row],[Discount]]="","",tblProducts[[#This Row],[Discount]]+tblProducts[[#This Row],[Review]]/1000000)</f>
        <v>0.55000000000000004</v>
      </c>
    </row>
    <row r="62" spans="1:12" x14ac:dyDescent="0.3">
      <c r="A62" s="29" t="s">
        <v>338</v>
      </c>
      <c r="B62" s="43">
        <v>2170</v>
      </c>
      <c r="C62" s="43">
        <v>2500</v>
      </c>
      <c r="D62" s="44">
        <v>0.13</v>
      </c>
      <c r="E62" s="45">
        <v>6</v>
      </c>
      <c r="F62" s="30">
        <v>2.5</v>
      </c>
      <c r="G62" s="30" t="str">
        <f>IF(tblProducts[[#This Row],[Rating]]="","Missing",IF(tblProducts[[#This Row],[Rating]]&lt;3,"Poor",IF(tblProducts[[#This Row],[Rating]]&lt;=4.5,"Average","Excellent")))</f>
        <v>Poor</v>
      </c>
      <c r="H62" s="30" t="str">
        <f>IF(tblProducts[[#This Row],[Discount]]="","Missing",IF(tblProducts[[#This Row],[Discount]]&lt;20%,"Low Discount",IF(tblProducts[[#This Row],[Discount]]&lt;=40%,"Medium Discount","High Discount")))</f>
        <v>Low Discount</v>
      </c>
      <c r="I62" s="43">
        <f>tblProducts[[#This Row],[old price (Ksh)]]-tblProducts[[#This Row],[Current price (Ksh)]]</f>
        <v>330</v>
      </c>
      <c r="J62" s="30">
        <f>IF(tblProducts[[#This Row],[Rating]]="","",tblProducts[[#This Row],[Rating]]+tblProducts[[#This Row],[Review]]/1000000+ROW()/100000000)</f>
        <v>2.5000066199999997</v>
      </c>
      <c r="K62" s="30">
        <f>IF(tblProducts[[#This Row],[Review]]="","",tblProducts[[#This Row],[Review]]+tblProducts[[#This Row],[Rating]]/1000)</f>
        <v>6.0025000000000004</v>
      </c>
      <c r="L62" s="31">
        <f>IF(tblProducts[[#This Row],[Discount]]="","",tblProducts[[#This Row],[Discount]]+tblProducts[[#This Row],[Review]]/1000000)</f>
        <v>0.13000600000000001</v>
      </c>
    </row>
    <row r="63" spans="1:12" x14ac:dyDescent="0.3">
      <c r="A63" s="29" t="s">
        <v>339</v>
      </c>
      <c r="B63" s="43">
        <v>458</v>
      </c>
      <c r="C63" s="43">
        <v>986</v>
      </c>
      <c r="D63" s="44">
        <v>0.54</v>
      </c>
      <c r="E63" s="45">
        <v>10</v>
      </c>
      <c r="F63" s="30">
        <v>3</v>
      </c>
      <c r="G63" s="30" t="str">
        <f>IF(tblProducts[[#This Row],[Rating]]="","Missing",IF(tblProducts[[#This Row],[Rating]]&lt;3,"Poor",IF(tblProducts[[#This Row],[Rating]]&lt;=4.5,"Average","Excellent")))</f>
        <v>Average</v>
      </c>
      <c r="H63" s="30" t="str">
        <f>IF(tblProducts[[#This Row],[Discount]]="","Missing",IF(tblProducts[[#This Row],[Discount]]&lt;20%,"Low Discount",IF(tblProducts[[#This Row],[Discount]]&lt;=40%,"Medium Discount","High Discount")))</f>
        <v>High Discount</v>
      </c>
      <c r="I63" s="43">
        <f>tblProducts[[#This Row],[old price (Ksh)]]-tblProducts[[#This Row],[Current price (Ksh)]]</f>
        <v>528</v>
      </c>
      <c r="J63" s="30">
        <f>IF(tblProducts[[#This Row],[Rating]]="","",tblProducts[[#This Row],[Rating]]+tblProducts[[#This Row],[Review]]/1000000+ROW()/100000000)</f>
        <v>3.0000106300000002</v>
      </c>
      <c r="K63" s="30">
        <f>IF(tblProducts[[#This Row],[Review]]="","",tblProducts[[#This Row],[Review]]+tblProducts[[#This Row],[Rating]]/1000)</f>
        <v>10.003</v>
      </c>
      <c r="L63" s="31">
        <f>IF(tblProducts[[#This Row],[Discount]]="","",tblProducts[[#This Row],[Discount]]+tblProducts[[#This Row],[Review]]/1000000)</f>
        <v>0.54000999999999999</v>
      </c>
    </row>
    <row r="64" spans="1:12" x14ac:dyDescent="0.3">
      <c r="A64" s="29" t="s">
        <v>340</v>
      </c>
      <c r="B64" s="43">
        <v>2115</v>
      </c>
      <c r="C64" s="43">
        <v>4700</v>
      </c>
      <c r="D64" s="44">
        <v>0.55000000000000004</v>
      </c>
      <c r="E64" s="45">
        <v>13</v>
      </c>
      <c r="F64" s="30">
        <v>2.1</v>
      </c>
      <c r="G64" s="30" t="str">
        <f>IF(tblProducts[[#This Row],[Rating]]="","Missing",IF(tblProducts[[#This Row],[Rating]]&lt;3,"Poor",IF(tblProducts[[#This Row],[Rating]]&lt;=4.5,"Average","Excellent")))</f>
        <v>Poor</v>
      </c>
      <c r="H64" s="30" t="str">
        <f>IF(tblProducts[[#This Row],[Discount]]="","Missing",IF(tblProducts[[#This Row],[Discount]]&lt;20%,"Low Discount",IF(tblProducts[[#This Row],[Discount]]&lt;=40%,"Medium Discount","High Discount")))</f>
        <v>High Discount</v>
      </c>
      <c r="I64" s="43">
        <f>tblProducts[[#This Row],[old price (Ksh)]]-tblProducts[[#This Row],[Current price (Ksh)]]</f>
        <v>2585</v>
      </c>
      <c r="J64" s="30">
        <f>IF(tblProducts[[#This Row],[Rating]]="","",tblProducts[[#This Row],[Rating]]+tblProducts[[#This Row],[Review]]/1000000+ROW()/100000000)</f>
        <v>2.1000136400000002</v>
      </c>
      <c r="K64" s="30">
        <f>IF(tblProducts[[#This Row],[Review]]="","",tblProducts[[#This Row],[Review]]+tblProducts[[#This Row],[Rating]]/1000)</f>
        <v>13.0021</v>
      </c>
      <c r="L64" s="31">
        <f>IF(tblProducts[[#This Row],[Discount]]="","",tblProducts[[#This Row],[Discount]]+tblProducts[[#This Row],[Review]]/1000000)</f>
        <v>0.55001300000000009</v>
      </c>
    </row>
    <row r="65" spans="1:12" x14ac:dyDescent="0.3">
      <c r="A65" s="29" t="s">
        <v>194</v>
      </c>
      <c r="B65" s="43">
        <v>445</v>
      </c>
      <c r="C65" s="43">
        <v>873</v>
      </c>
      <c r="D65" s="44">
        <v>0.49</v>
      </c>
      <c r="E65" s="45">
        <v>69</v>
      </c>
      <c r="F65" s="30">
        <v>2.8</v>
      </c>
      <c r="G65" s="30" t="str">
        <f>IF(tblProducts[[#This Row],[Rating]]="","Missing",IF(tblProducts[[#This Row],[Rating]]&lt;3,"Poor",IF(tblProducts[[#This Row],[Rating]]&lt;=4.5,"Average","Excellent")))</f>
        <v>Poor</v>
      </c>
      <c r="H65" s="30" t="str">
        <f>IF(tblProducts[[#This Row],[Discount]]="","Missing",IF(tblProducts[[#This Row],[Discount]]&lt;20%,"Low Discount",IF(tblProducts[[#This Row],[Discount]]&lt;=40%,"Medium Discount","High Discount")))</f>
        <v>High Discount</v>
      </c>
      <c r="I65" s="43">
        <f>tblProducts[[#This Row],[old price (Ksh)]]-tblProducts[[#This Row],[Current price (Ksh)]]</f>
        <v>428</v>
      </c>
      <c r="J65" s="30">
        <f>IF(tblProducts[[#This Row],[Rating]]="","",tblProducts[[#This Row],[Rating]]+tblProducts[[#This Row],[Review]]/1000000+ROW()/100000000)</f>
        <v>2.8000696499999997</v>
      </c>
      <c r="K65" s="30">
        <f>IF(tblProducts[[#This Row],[Review]]="","",tblProducts[[#This Row],[Review]]+tblProducts[[#This Row],[Rating]]/1000)</f>
        <v>69.002799999999993</v>
      </c>
      <c r="L65" s="31">
        <f>IF(tblProducts[[#This Row],[Discount]]="","",tblProducts[[#This Row],[Discount]]+tblProducts[[#This Row],[Review]]/1000000)</f>
        <v>0.49006899999999998</v>
      </c>
    </row>
    <row r="66" spans="1:12" x14ac:dyDescent="0.3">
      <c r="A66" s="29" t="s">
        <v>359</v>
      </c>
      <c r="B66" s="43">
        <v>325</v>
      </c>
      <c r="C66" s="43">
        <v>680</v>
      </c>
      <c r="D66" s="44">
        <v>0.52</v>
      </c>
      <c r="E66" s="45">
        <v>15</v>
      </c>
      <c r="F66" s="30">
        <v>2.7</v>
      </c>
      <c r="G66" s="30" t="str">
        <f>IF(tblProducts[[#This Row],[Rating]]="","Missing",IF(tblProducts[[#This Row],[Rating]]&lt;3,"Poor",IF(tblProducts[[#This Row],[Rating]]&lt;=4.5,"Average","Excellent")))</f>
        <v>Poor</v>
      </c>
      <c r="H66" s="30" t="str">
        <f>IF(tblProducts[[#This Row],[Discount]]="","Missing",IF(tblProducts[[#This Row],[Discount]]&lt;20%,"Low Discount",IF(tblProducts[[#This Row],[Discount]]&lt;=40%,"Medium Discount","High Discount")))</f>
        <v>High Discount</v>
      </c>
      <c r="I66" s="43">
        <f>tblProducts[[#This Row],[old price (Ksh)]]-tblProducts[[#This Row],[Current price (Ksh)]]</f>
        <v>355</v>
      </c>
      <c r="J66" s="30">
        <f>IF(tblProducts[[#This Row],[Rating]]="","",tblProducts[[#This Row],[Rating]]+tblProducts[[#This Row],[Review]]/1000000+ROW()/100000000)</f>
        <v>2.70001566</v>
      </c>
      <c r="K66" s="30">
        <f>IF(tblProducts[[#This Row],[Review]]="","",tblProducts[[#This Row],[Review]]+tblProducts[[#This Row],[Rating]]/1000)</f>
        <v>15.002700000000001</v>
      </c>
      <c r="L66" s="31">
        <f>IF(tblProducts[[#This Row],[Discount]]="","",tblProducts[[#This Row],[Discount]]+tblProducts[[#This Row],[Review]]/1000000)</f>
        <v>0.52001500000000001</v>
      </c>
    </row>
    <row r="67" spans="1:12" x14ac:dyDescent="0.3">
      <c r="A67" s="29" t="s">
        <v>341</v>
      </c>
      <c r="B67" s="43">
        <v>1220</v>
      </c>
      <c r="C67" s="43">
        <v>1555</v>
      </c>
      <c r="D67" s="44">
        <v>0.22</v>
      </c>
      <c r="E67" s="45">
        <v>16</v>
      </c>
      <c r="F67" s="30">
        <v>2.9</v>
      </c>
      <c r="G67" s="30" t="str">
        <f>IF(tblProducts[[#This Row],[Rating]]="","Missing",IF(tblProducts[[#This Row],[Rating]]&lt;3,"Poor",IF(tblProducts[[#This Row],[Rating]]&lt;=4.5,"Average","Excellent")))</f>
        <v>Poor</v>
      </c>
      <c r="H67" s="30" t="str">
        <f>IF(tblProducts[[#This Row],[Discount]]="","Missing",IF(tblProducts[[#This Row],[Discount]]&lt;20%,"Low Discount",IF(tblProducts[[#This Row],[Discount]]&lt;=40%,"Medium Discount","High Discount")))</f>
        <v>Medium Discount</v>
      </c>
      <c r="I67" s="43">
        <f>tblProducts[[#This Row],[old price (Ksh)]]-tblProducts[[#This Row],[Current price (Ksh)]]</f>
        <v>335</v>
      </c>
      <c r="J67" s="30">
        <f>IF(tblProducts[[#This Row],[Rating]]="","",tblProducts[[#This Row],[Rating]]+tblProducts[[#This Row],[Review]]/1000000+ROW()/100000000)</f>
        <v>2.9000166699999999</v>
      </c>
      <c r="K67" s="30">
        <f>IF(tblProducts[[#This Row],[Review]]="","",tblProducts[[#This Row],[Review]]+tblProducts[[#This Row],[Rating]]/1000)</f>
        <v>16.0029</v>
      </c>
      <c r="L67" s="31">
        <f>IF(tblProducts[[#This Row],[Discount]]="","",tblProducts[[#This Row],[Discount]]+tblProducts[[#This Row],[Review]]/1000000)</f>
        <v>0.22001599999999999</v>
      </c>
    </row>
    <row r="68" spans="1:12" x14ac:dyDescent="0.3">
      <c r="A68" s="29" t="s">
        <v>206</v>
      </c>
      <c r="B68" s="43">
        <v>990</v>
      </c>
      <c r="C68" s="43">
        <v>1814</v>
      </c>
      <c r="D68" s="44">
        <v>0.45</v>
      </c>
      <c r="E68" s="45">
        <v>6</v>
      </c>
      <c r="F68" s="30">
        <v>2.2000000000000002</v>
      </c>
      <c r="G68" s="30" t="str">
        <f>IF(tblProducts[[#This Row],[Rating]]="","Missing",IF(tblProducts[[#This Row],[Rating]]&lt;3,"Poor",IF(tblProducts[[#This Row],[Rating]]&lt;=4.5,"Average","Excellent")))</f>
        <v>Poor</v>
      </c>
      <c r="H68" s="30" t="str">
        <f>IF(tblProducts[[#This Row],[Discount]]="","Missing",IF(tblProducts[[#This Row],[Discount]]&lt;20%,"Low Discount",IF(tblProducts[[#This Row],[Discount]]&lt;=40%,"Medium Discount","High Discount")))</f>
        <v>High Discount</v>
      </c>
      <c r="I68" s="43">
        <f>tblProducts[[#This Row],[old price (Ksh)]]-tblProducts[[#This Row],[Current price (Ksh)]]</f>
        <v>824</v>
      </c>
      <c r="J68" s="30">
        <f>IF(tblProducts[[#This Row],[Rating]]="","",tblProducts[[#This Row],[Rating]]+tblProducts[[#This Row],[Review]]/1000000+ROW()/100000000)</f>
        <v>2.20000668</v>
      </c>
      <c r="K68" s="30">
        <f>IF(tblProducts[[#This Row],[Review]]="","",tblProducts[[#This Row],[Review]]+tblProducts[[#This Row],[Rating]]/1000)</f>
        <v>6.0022000000000002</v>
      </c>
      <c r="L68" s="31">
        <f>IF(tblProducts[[#This Row],[Discount]]="","",tblProducts[[#This Row],[Discount]]+tblProducts[[#This Row],[Review]]/1000000)</f>
        <v>0.45000600000000002</v>
      </c>
    </row>
    <row r="69" spans="1:12" x14ac:dyDescent="0.3">
      <c r="A69" s="29" t="s">
        <v>357</v>
      </c>
      <c r="B69" s="43">
        <v>1000</v>
      </c>
      <c r="C69" s="43">
        <v>2000</v>
      </c>
      <c r="D69" s="44">
        <v>0.5</v>
      </c>
      <c r="E69" s="45">
        <v>7</v>
      </c>
      <c r="F69" s="30">
        <v>2.2999999999999998</v>
      </c>
      <c r="G69" s="30" t="str">
        <f>IF(tblProducts[[#This Row],[Rating]]="","Missing",IF(tblProducts[[#This Row],[Rating]]&lt;3,"Poor",IF(tblProducts[[#This Row],[Rating]]&lt;=4.5,"Average","Excellent")))</f>
        <v>Poor</v>
      </c>
      <c r="H69" s="30" t="str">
        <f>IF(tblProducts[[#This Row],[Discount]]="","Missing",IF(tblProducts[[#This Row],[Discount]]&lt;20%,"Low Discount",IF(tblProducts[[#This Row],[Discount]]&lt;=40%,"Medium Discount","High Discount")))</f>
        <v>High Discount</v>
      </c>
      <c r="I69" s="43">
        <f>tblProducts[[#This Row],[old price (Ksh)]]-tblProducts[[#This Row],[Current price (Ksh)]]</f>
        <v>1000</v>
      </c>
      <c r="J69" s="30">
        <f>IF(tblProducts[[#This Row],[Rating]]="","",tblProducts[[#This Row],[Rating]]+tblProducts[[#This Row],[Review]]/1000000+ROW()/100000000)</f>
        <v>2.3000076899999997</v>
      </c>
      <c r="K69" s="30">
        <f>IF(tblProducts[[#This Row],[Review]]="","",tblProducts[[#This Row],[Review]]+tblProducts[[#This Row],[Rating]]/1000)</f>
        <v>7.0023</v>
      </c>
      <c r="L69" s="31">
        <f>IF(tblProducts[[#This Row],[Discount]]="","",tblProducts[[#This Row],[Discount]]+tblProducts[[#This Row],[Review]]/1000000)</f>
        <v>0.50000699999999998</v>
      </c>
    </row>
    <row r="70" spans="1:12" x14ac:dyDescent="0.3">
      <c r="A70" s="29" t="s">
        <v>342</v>
      </c>
      <c r="B70" s="43">
        <v>3750</v>
      </c>
      <c r="C70" s="43">
        <v>6143</v>
      </c>
      <c r="D70" s="44">
        <v>0.39</v>
      </c>
      <c r="E70" s="45">
        <v>5</v>
      </c>
      <c r="F70" s="30">
        <v>3</v>
      </c>
      <c r="G70" s="30" t="str">
        <f>IF(tblProducts[[#This Row],[Rating]]="","Missing",IF(tblProducts[[#This Row],[Rating]]&lt;3,"Poor",IF(tblProducts[[#This Row],[Rating]]&lt;=4.5,"Average","Excellent")))</f>
        <v>Average</v>
      </c>
      <c r="H70" s="30" t="str">
        <f>IF(tblProducts[[#This Row],[Discount]]="","Missing",IF(tblProducts[[#This Row],[Discount]]&lt;20%,"Low Discount",IF(tblProducts[[#This Row],[Discount]]&lt;=40%,"Medium Discount","High Discount")))</f>
        <v>Medium Discount</v>
      </c>
      <c r="I70" s="43">
        <f>tblProducts[[#This Row],[old price (Ksh)]]-tblProducts[[#This Row],[Current price (Ksh)]]</f>
        <v>2393</v>
      </c>
      <c r="J70" s="30">
        <f>IF(tblProducts[[#This Row],[Rating]]="","",tblProducts[[#This Row],[Rating]]+tblProducts[[#This Row],[Review]]/1000000+ROW()/100000000)</f>
        <v>3.0000057</v>
      </c>
      <c r="K70" s="30">
        <f>IF(tblProducts[[#This Row],[Review]]="","",tblProducts[[#This Row],[Review]]+tblProducts[[#This Row],[Rating]]/1000)</f>
        <v>5.0030000000000001</v>
      </c>
      <c r="L70" s="31">
        <f>IF(tblProducts[[#This Row],[Discount]]="","",tblProducts[[#This Row],[Discount]]+tblProducts[[#This Row],[Review]]/1000000)</f>
        <v>0.39000499999999999</v>
      </c>
    </row>
    <row r="71" spans="1:12" x14ac:dyDescent="0.3">
      <c r="A71" s="29" t="s">
        <v>215</v>
      </c>
      <c r="B71" s="43">
        <v>382</v>
      </c>
      <c r="C71" s="43">
        <v>700</v>
      </c>
      <c r="D71" s="44">
        <v>0.45</v>
      </c>
      <c r="E71" s="45">
        <v>17</v>
      </c>
      <c r="F71" s="30">
        <v>2.6</v>
      </c>
      <c r="G71" s="30" t="str">
        <f>IF(tblProducts[[#This Row],[Rating]]="","Missing",IF(tblProducts[[#This Row],[Rating]]&lt;3,"Poor",IF(tblProducts[[#This Row],[Rating]]&lt;=4.5,"Average","Excellent")))</f>
        <v>Poor</v>
      </c>
      <c r="H71" s="30" t="str">
        <f>IF(tblProducts[[#This Row],[Discount]]="","Missing",IF(tblProducts[[#This Row],[Discount]]&lt;20%,"Low Discount",IF(tblProducts[[#This Row],[Discount]]&lt;=40%,"Medium Discount","High Discount")))</f>
        <v>High Discount</v>
      </c>
      <c r="I71" s="43">
        <f>tblProducts[[#This Row],[old price (Ksh)]]-tblProducts[[#This Row],[Current price (Ksh)]]</f>
        <v>318</v>
      </c>
      <c r="J71" s="30">
        <f>IF(tblProducts[[#This Row],[Rating]]="","",tblProducts[[#This Row],[Rating]]+tblProducts[[#This Row],[Review]]/1000000+ROW()/100000000)</f>
        <v>2.6000177100000004</v>
      </c>
      <c r="K71" s="30">
        <f>IF(tblProducts[[#This Row],[Review]]="","",tblProducts[[#This Row],[Review]]+tblProducts[[#This Row],[Rating]]/1000)</f>
        <v>17.002600000000001</v>
      </c>
      <c r="L71" s="31">
        <f>IF(tblProducts[[#This Row],[Discount]]="","",tblProducts[[#This Row],[Discount]]+tblProducts[[#This Row],[Review]]/1000000)</f>
        <v>0.450017</v>
      </c>
    </row>
    <row r="72" spans="1:12" x14ac:dyDescent="0.3">
      <c r="A72" s="29" t="s">
        <v>218</v>
      </c>
      <c r="B72" s="43">
        <v>2300</v>
      </c>
      <c r="C72" s="43">
        <v>3240</v>
      </c>
      <c r="D72" s="44">
        <v>0.28999999999999998</v>
      </c>
      <c r="E72" s="45">
        <v>5</v>
      </c>
      <c r="F72" s="30">
        <v>3</v>
      </c>
      <c r="G72" s="30" t="str">
        <f>IF(tblProducts[[#This Row],[Rating]]="","Missing",IF(tblProducts[[#This Row],[Rating]]&lt;3,"Poor",IF(tblProducts[[#This Row],[Rating]]&lt;=4.5,"Average","Excellent")))</f>
        <v>Average</v>
      </c>
      <c r="H72" s="30" t="str">
        <f>IF(tblProducts[[#This Row],[Discount]]="","Missing",IF(tblProducts[[#This Row],[Discount]]&lt;20%,"Low Discount",IF(tblProducts[[#This Row],[Discount]]&lt;=40%,"Medium Discount","High Discount")))</f>
        <v>Medium Discount</v>
      </c>
      <c r="I72" s="43">
        <f>tblProducts[[#This Row],[old price (Ksh)]]-tblProducts[[#This Row],[Current price (Ksh)]]</f>
        <v>940</v>
      </c>
      <c r="J72" s="30">
        <f>IF(tblProducts[[#This Row],[Rating]]="","",tblProducts[[#This Row],[Rating]]+tblProducts[[#This Row],[Review]]/1000000+ROW()/100000000)</f>
        <v>3.0000057199999999</v>
      </c>
      <c r="K72" s="30">
        <f>IF(tblProducts[[#This Row],[Review]]="","",tblProducts[[#This Row],[Review]]+tblProducts[[#This Row],[Rating]]/1000)</f>
        <v>5.0030000000000001</v>
      </c>
      <c r="L72" s="31">
        <f>IF(tblProducts[[#This Row],[Discount]]="","",tblProducts[[#This Row],[Discount]]+tblProducts[[#This Row],[Review]]/1000000)</f>
        <v>0.29000499999999996</v>
      </c>
    </row>
    <row r="73" spans="1:12" x14ac:dyDescent="0.3">
      <c r="A73" s="29" t="s">
        <v>221</v>
      </c>
      <c r="B73" s="43">
        <v>345</v>
      </c>
      <c r="C73" s="43">
        <v>602</v>
      </c>
      <c r="D73" s="44">
        <v>0.43</v>
      </c>
      <c r="E73" s="45">
        <v>6</v>
      </c>
      <c r="F73" s="30">
        <v>2.2999999999999998</v>
      </c>
      <c r="G73" s="30" t="str">
        <f>IF(tblProducts[[#This Row],[Rating]]="","Missing",IF(tblProducts[[#This Row],[Rating]]&lt;3,"Poor",IF(tblProducts[[#This Row],[Rating]]&lt;=4.5,"Average","Excellent")))</f>
        <v>Poor</v>
      </c>
      <c r="H73" s="30" t="str">
        <f>IF(tblProducts[[#This Row],[Discount]]="","Missing",IF(tblProducts[[#This Row],[Discount]]&lt;20%,"Low Discount",IF(tblProducts[[#This Row],[Discount]]&lt;=40%,"Medium Discount","High Discount")))</f>
        <v>High Discount</v>
      </c>
      <c r="I73" s="43">
        <f>tblProducts[[#This Row],[old price (Ksh)]]-tblProducts[[#This Row],[Current price (Ksh)]]</f>
        <v>257</v>
      </c>
      <c r="J73" s="30">
        <f>IF(tblProducts[[#This Row],[Rating]]="","",tblProducts[[#This Row],[Rating]]+tblProducts[[#This Row],[Review]]/1000000+ROW()/100000000)</f>
        <v>2.3000067299999998</v>
      </c>
      <c r="K73" s="30">
        <f>IF(tblProducts[[#This Row],[Review]]="","",tblProducts[[#This Row],[Review]]+tblProducts[[#This Row],[Rating]]/1000)</f>
        <v>6.0023</v>
      </c>
      <c r="L73" s="31">
        <f>IF(tblProducts[[#This Row],[Discount]]="","",tblProducts[[#This Row],[Discount]]+tblProducts[[#This Row],[Review]]/1000000)</f>
        <v>0.430006</v>
      </c>
    </row>
    <row r="74" spans="1:12" x14ac:dyDescent="0.3">
      <c r="A74" s="29" t="s">
        <v>224</v>
      </c>
      <c r="B74" s="43">
        <v>509</v>
      </c>
      <c r="C74" s="43">
        <v>899</v>
      </c>
      <c r="D74" s="44">
        <v>0.43</v>
      </c>
      <c r="E74" s="45">
        <v>5</v>
      </c>
      <c r="F74" s="30">
        <v>3</v>
      </c>
      <c r="G74" s="30" t="str">
        <f>IF(tblProducts[[#This Row],[Rating]]="","Missing",IF(tblProducts[[#This Row],[Rating]]&lt;3,"Poor",IF(tblProducts[[#This Row],[Rating]]&lt;=4.5,"Average","Excellent")))</f>
        <v>Average</v>
      </c>
      <c r="H74" s="30" t="str">
        <f>IF(tblProducts[[#This Row],[Discount]]="","Missing",IF(tblProducts[[#This Row],[Discount]]&lt;20%,"Low Discount",IF(tblProducts[[#This Row],[Discount]]&lt;=40%,"Medium Discount","High Discount")))</f>
        <v>High Discount</v>
      </c>
      <c r="I74" s="43">
        <f>tblProducts[[#This Row],[old price (Ksh)]]-tblProducts[[#This Row],[Current price (Ksh)]]</f>
        <v>390</v>
      </c>
      <c r="J74" s="30">
        <f>IF(tblProducts[[#This Row],[Rating]]="","",tblProducts[[#This Row],[Rating]]+tblProducts[[#This Row],[Review]]/1000000+ROW()/100000000)</f>
        <v>3.0000057399999998</v>
      </c>
      <c r="K74" s="30">
        <f>IF(tblProducts[[#This Row],[Review]]="","",tblProducts[[#This Row],[Review]]+tblProducts[[#This Row],[Rating]]/1000)</f>
        <v>5.0030000000000001</v>
      </c>
      <c r="L74" s="31">
        <f>IF(tblProducts[[#This Row],[Discount]]="","",tblProducts[[#This Row],[Discount]]+tblProducts[[#This Row],[Review]]/1000000)</f>
        <v>0.43000499999999997</v>
      </c>
    </row>
    <row r="75" spans="1:12" x14ac:dyDescent="0.3">
      <c r="A75" s="29" t="s">
        <v>343</v>
      </c>
      <c r="B75" s="43">
        <v>968</v>
      </c>
      <c r="C75" s="43">
        <v>1814</v>
      </c>
      <c r="D75" s="44">
        <v>0.47</v>
      </c>
      <c r="E75" s="45">
        <v>6</v>
      </c>
      <c r="F75" s="30">
        <v>2.2000000000000002</v>
      </c>
      <c r="G75" s="30" t="str">
        <f>IF(tblProducts[[#This Row],[Rating]]="","Missing",IF(tblProducts[[#This Row],[Rating]]&lt;3,"Poor",IF(tblProducts[[#This Row],[Rating]]&lt;=4.5,"Average","Excellent")))</f>
        <v>Poor</v>
      </c>
      <c r="H75" s="30" t="str">
        <f>IF(tblProducts[[#This Row],[Discount]]="","Missing",IF(tblProducts[[#This Row],[Discount]]&lt;20%,"Low Discount",IF(tblProducts[[#This Row],[Discount]]&lt;=40%,"Medium Discount","High Discount")))</f>
        <v>High Discount</v>
      </c>
      <c r="I75" s="43">
        <f>tblProducts[[#This Row],[old price (Ksh)]]-tblProducts[[#This Row],[Current price (Ksh)]]</f>
        <v>846</v>
      </c>
      <c r="J75" s="30">
        <f>IF(tblProducts[[#This Row],[Rating]]="","",tblProducts[[#This Row],[Rating]]+tblProducts[[#This Row],[Review]]/1000000+ROW()/100000000)</f>
        <v>2.20000675</v>
      </c>
      <c r="K75" s="30">
        <f>IF(tblProducts[[#This Row],[Review]]="","",tblProducts[[#This Row],[Review]]+tblProducts[[#This Row],[Rating]]/1000)</f>
        <v>6.0022000000000002</v>
      </c>
      <c r="L75" s="31">
        <f>IF(tblProducts[[#This Row],[Discount]]="","",tblProducts[[#This Row],[Discount]]+tblProducts[[#This Row],[Review]]/1000000)</f>
        <v>0.47000599999999998</v>
      </c>
    </row>
    <row r="76" spans="1:12" x14ac:dyDescent="0.3">
      <c r="A76" s="29" t="s">
        <v>229</v>
      </c>
      <c r="B76" s="43">
        <v>1570</v>
      </c>
      <c r="C76" s="43">
        <v>2988</v>
      </c>
      <c r="D76" s="44">
        <v>0.47</v>
      </c>
      <c r="E76" s="45">
        <v>7</v>
      </c>
      <c r="F76" s="30">
        <v>2.1</v>
      </c>
      <c r="G76" s="30" t="str">
        <f>IF(tblProducts[[#This Row],[Rating]]="","Missing",IF(tblProducts[[#This Row],[Rating]]&lt;3,"Poor",IF(tblProducts[[#This Row],[Rating]]&lt;=4.5,"Average","Excellent")))</f>
        <v>Poor</v>
      </c>
      <c r="H76" s="30" t="str">
        <f>IF(tblProducts[[#This Row],[Discount]]="","Missing",IF(tblProducts[[#This Row],[Discount]]&lt;20%,"Low Discount",IF(tblProducts[[#This Row],[Discount]]&lt;=40%,"Medium Discount","High Discount")))</f>
        <v>High Discount</v>
      </c>
      <c r="I76" s="43">
        <f>tblProducts[[#This Row],[old price (Ksh)]]-tblProducts[[#This Row],[Current price (Ksh)]]</f>
        <v>1418</v>
      </c>
      <c r="J76" s="30">
        <f>IF(tblProducts[[#This Row],[Rating]]="","",tblProducts[[#This Row],[Rating]]+tblProducts[[#This Row],[Review]]/1000000+ROW()/100000000)</f>
        <v>2.10000776</v>
      </c>
      <c r="K76" s="30">
        <f>IF(tblProducts[[#This Row],[Review]]="","",tblProducts[[#This Row],[Review]]+tblProducts[[#This Row],[Rating]]/1000)</f>
        <v>7.0021000000000004</v>
      </c>
      <c r="L76" s="31">
        <f>IF(tblProducts[[#This Row],[Discount]]="","",tblProducts[[#This Row],[Discount]]+tblProducts[[#This Row],[Review]]/1000000)</f>
        <v>0.47000699999999995</v>
      </c>
    </row>
    <row r="77" spans="1:12" x14ac:dyDescent="0.3">
      <c r="A77" s="29" t="s">
        <v>360</v>
      </c>
      <c r="B77" s="43">
        <v>790</v>
      </c>
      <c r="C77" s="43">
        <v>1485</v>
      </c>
      <c r="D77" s="44">
        <v>0.47</v>
      </c>
      <c r="E77" s="45"/>
      <c r="F77" s="30" t="s">
        <v>371</v>
      </c>
      <c r="G77" s="30" t="str">
        <f>IF(tblProducts[[#This Row],[Rating]]="","Missing",IF(tblProducts[[#This Row],[Rating]]&lt;3,"Poor",IF(tblProducts[[#This Row],[Rating]]&lt;=4.5,"Average","Excellent")))</f>
        <v>Missing</v>
      </c>
      <c r="H77" s="30" t="str">
        <f>IF(tblProducts[[#This Row],[Discount]]="","Missing",IF(tblProducts[[#This Row],[Discount]]&lt;20%,"Low Discount",IF(tblProducts[[#This Row],[Discount]]&lt;=40%,"Medium Discount","High Discount")))</f>
        <v>High Discount</v>
      </c>
      <c r="I77" s="43">
        <f>tblProducts[[#This Row],[old price (Ksh)]]-tblProducts[[#This Row],[Current price (Ksh)]]</f>
        <v>695</v>
      </c>
      <c r="J77" s="30" t="str">
        <f>IF(tblProducts[[#This Row],[Rating]]="","",tblProducts[[#This Row],[Rating]]+tblProducts[[#This Row],[Review]]/1000000+ROW()/100000000)</f>
        <v/>
      </c>
      <c r="K77" s="30" t="str">
        <f>IF(tblProducts[[#This Row],[Review]]="","",tblProducts[[#This Row],[Review]]+tblProducts[[#This Row],[Rating]]/1000)</f>
        <v/>
      </c>
      <c r="L77" s="31">
        <f>IF(tblProducts[[#This Row],[Discount]]="","",tblProducts[[#This Row],[Discount]]+tblProducts[[#This Row],[Review]]/1000000)</f>
        <v>0.47</v>
      </c>
    </row>
    <row r="78" spans="1:12" x14ac:dyDescent="0.3">
      <c r="A78" s="29" t="s">
        <v>344</v>
      </c>
      <c r="B78" s="43">
        <v>690</v>
      </c>
      <c r="C78" s="43">
        <v>1200</v>
      </c>
      <c r="D78" s="44">
        <v>0.43</v>
      </c>
      <c r="E78" s="45"/>
      <c r="F78" s="30" t="s">
        <v>371</v>
      </c>
      <c r="G78" s="30" t="str">
        <f>IF(tblProducts[[#This Row],[Rating]]="","Missing",IF(tblProducts[[#This Row],[Rating]]&lt;3,"Poor",IF(tblProducts[[#This Row],[Rating]]&lt;=4.5,"Average","Excellent")))</f>
        <v>Missing</v>
      </c>
      <c r="H78" s="30" t="str">
        <f>IF(tblProducts[[#This Row],[Discount]]="","Missing",IF(tblProducts[[#This Row],[Discount]]&lt;20%,"Low Discount",IF(tblProducts[[#This Row],[Discount]]&lt;=40%,"Medium Discount","High Discount")))</f>
        <v>High Discount</v>
      </c>
      <c r="I78" s="43">
        <f>tblProducts[[#This Row],[old price (Ksh)]]-tblProducts[[#This Row],[Current price (Ksh)]]</f>
        <v>510</v>
      </c>
      <c r="J78" s="30" t="str">
        <f>IF(tblProducts[[#This Row],[Rating]]="","",tblProducts[[#This Row],[Rating]]+tblProducts[[#This Row],[Review]]/1000000+ROW()/100000000)</f>
        <v/>
      </c>
      <c r="K78" s="30" t="str">
        <f>IF(tblProducts[[#This Row],[Review]]="","",tblProducts[[#This Row],[Review]]+tblProducts[[#This Row],[Rating]]/1000)</f>
        <v/>
      </c>
      <c r="L78" s="31">
        <f>IF(tblProducts[[#This Row],[Discount]]="","",tblProducts[[#This Row],[Discount]]+tblProducts[[#This Row],[Review]]/1000000)</f>
        <v>0.43</v>
      </c>
    </row>
    <row r="79" spans="1:12" x14ac:dyDescent="0.3">
      <c r="A79" s="29" t="s">
        <v>237</v>
      </c>
      <c r="B79" s="43">
        <v>1732</v>
      </c>
      <c r="C79" s="43">
        <v>1799</v>
      </c>
      <c r="D79" s="44">
        <v>0.04</v>
      </c>
      <c r="E79" s="45"/>
      <c r="F79" s="30" t="s">
        <v>371</v>
      </c>
      <c r="G79" s="30" t="str">
        <f>IF(tblProducts[[#This Row],[Rating]]="","Missing",IF(tblProducts[[#This Row],[Rating]]&lt;3,"Poor",IF(tblProducts[[#This Row],[Rating]]&lt;=4.5,"Average","Excellent")))</f>
        <v>Missing</v>
      </c>
      <c r="H79" s="30" t="str">
        <f>IF(tblProducts[[#This Row],[Discount]]="","Missing",IF(tblProducts[[#This Row],[Discount]]&lt;20%,"Low Discount",IF(tblProducts[[#This Row],[Discount]]&lt;=40%,"Medium Discount","High Discount")))</f>
        <v>Low Discount</v>
      </c>
      <c r="I79" s="43">
        <f>tblProducts[[#This Row],[old price (Ksh)]]-tblProducts[[#This Row],[Current price (Ksh)]]</f>
        <v>67</v>
      </c>
      <c r="J79" s="30" t="str">
        <f>IF(tblProducts[[#This Row],[Rating]]="","",tblProducts[[#This Row],[Rating]]+tblProducts[[#This Row],[Review]]/1000000+ROW()/100000000)</f>
        <v/>
      </c>
      <c r="K79" s="30" t="str">
        <f>IF(tblProducts[[#This Row],[Review]]="","",tblProducts[[#This Row],[Review]]+tblProducts[[#This Row],[Rating]]/1000)</f>
        <v/>
      </c>
      <c r="L79" s="31">
        <f>IF(tblProducts[[#This Row],[Discount]]="","",tblProducts[[#This Row],[Discount]]+tblProducts[[#This Row],[Review]]/1000000)</f>
        <v>0.04</v>
      </c>
    </row>
    <row r="80" spans="1:12" x14ac:dyDescent="0.3">
      <c r="A80" s="29" t="s">
        <v>345</v>
      </c>
      <c r="B80" s="43">
        <v>230</v>
      </c>
      <c r="C80" s="43">
        <v>450</v>
      </c>
      <c r="D80" s="44">
        <v>0.49</v>
      </c>
      <c r="E80" s="45"/>
      <c r="F80" s="30" t="s">
        <v>371</v>
      </c>
      <c r="G80" s="30" t="str">
        <f>IF(tblProducts[[#This Row],[Rating]]="","Missing",IF(tblProducts[[#This Row],[Rating]]&lt;3,"Poor",IF(tblProducts[[#This Row],[Rating]]&lt;=4.5,"Average","Excellent")))</f>
        <v>Missing</v>
      </c>
      <c r="H80" s="30" t="str">
        <f>IF(tblProducts[[#This Row],[Discount]]="","Missing",IF(tblProducts[[#This Row],[Discount]]&lt;20%,"Low Discount",IF(tblProducts[[#This Row],[Discount]]&lt;=40%,"Medium Discount","High Discount")))</f>
        <v>High Discount</v>
      </c>
      <c r="I80" s="43">
        <f>tblProducts[[#This Row],[old price (Ksh)]]-tblProducts[[#This Row],[Current price (Ksh)]]</f>
        <v>220</v>
      </c>
      <c r="J80" s="30" t="str">
        <f>IF(tblProducts[[#This Row],[Rating]]="","",tblProducts[[#This Row],[Rating]]+tblProducts[[#This Row],[Review]]/1000000+ROW()/100000000)</f>
        <v/>
      </c>
      <c r="K80" s="30" t="str">
        <f>IF(tblProducts[[#This Row],[Review]]="","",tblProducts[[#This Row],[Review]]+tblProducts[[#This Row],[Rating]]/1000)</f>
        <v/>
      </c>
      <c r="L80" s="31">
        <f>IF(tblProducts[[#This Row],[Discount]]="","",tblProducts[[#This Row],[Discount]]+tblProducts[[#This Row],[Review]]/1000000)</f>
        <v>0.49</v>
      </c>
    </row>
    <row r="81" spans="1:12" x14ac:dyDescent="0.3">
      <c r="A81" s="29" t="s">
        <v>346</v>
      </c>
      <c r="B81" s="43">
        <v>1189</v>
      </c>
      <c r="C81" s="43">
        <v>2199</v>
      </c>
      <c r="D81" s="44">
        <v>0.46</v>
      </c>
      <c r="E81" s="45">
        <v>1</v>
      </c>
      <c r="F81" s="30">
        <v>3</v>
      </c>
      <c r="G81" s="30" t="str">
        <f>IF(tblProducts[[#This Row],[Rating]]="","Missing",IF(tblProducts[[#This Row],[Rating]]&lt;3,"Poor",IF(tblProducts[[#This Row],[Rating]]&lt;=4.5,"Average","Excellent")))</f>
        <v>Average</v>
      </c>
      <c r="H81" s="30" t="str">
        <f>IF(tblProducts[[#This Row],[Discount]]="","Missing",IF(tblProducts[[#This Row],[Discount]]&lt;20%,"Low Discount",IF(tblProducts[[#This Row],[Discount]]&lt;=40%,"Medium Discount","High Discount")))</f>
        <v>High Discount</v>
      </c>
      <c r="I81" s="43">
        <f>tblProducts[[#This Row],[old price (Ksh)]]-tblProducts[[#This Row],[Current price (Ksh)]]</f>
        <v>1010</v>
      </c>
      <c r="J81" s="30">
        <f>IF(tblProducts[[#This Row],[Rating]]="","",tblProducts[[#This Row],[Rating]]+tblProducts[[#This Row],[Review]]/1000000+ROW()/100000000)</f>
        <v>3.0000018100000001</v>
      </c>
      <c r="K81" s="30">
        <f>IF(tblProducts[[#This Row],[Review]]="","",tblProducts[[#This Row],[Review]]+tblProducts[[#This Row],[Rating]]/1000)</f>
        <v>1.0029999999999999</v>
      </c>
      <c r="L81" s="31">
        <f>IF(tblProducts[[#This Row],[Discount]]="","",tblProducts[[#This Row],[Discount]]+tblProducts[[#This Row],[Review]]/1000000)</f>
        <v>0.46000099999999999</v>
      </c>
    </row>
    <row r="82" spans="1:12" x14ac:dyDescent="0.3">
      <c r="A82" s="29" t="s">
        <v>245</v>
      </c>
      <c r="B82" s="43">
        <v>979</v>
      </c>
      <c r="C82" s="43">
        <v>1920</v>
      </c>
      <c r="D82" s="44">
        <v>0.49</v>
      </c>
      <c r="E82" s="45">
        <v>1</v>
      </c>
      <c r="F82" s="30">
        <v>5</v>
      </c>
      <c r="G82" s="30" t="str">
        <f>IF(tblProducts[[#This Row],[Rating]]="","Missing",IF(tblProducts[[#This Row],[Rating]]&lt;3,"Poor",IF(tblProducts[[#This Row],[Rating]]&lt;=4.5,"Average","Excellent")))</f>
        <v>Excellent</v>
      </c>
      <c r="H82" s="30" t="str">
        <f>IF(tblProducts[[#This Row],[Discount]]="","Missing",IF(tblProducts[[#This Row],[Discount]]&lt;20%,"Low Discount",IF(tblProducts[[#This Row],[Discount]]&lt;=40%,"Medium Discount","High Discount")))</f>
        <v>High Discount</v>
      </c>
      <c r="I82" s="43">
        <f>tblProducts[[#This Row],[old price (Ksh)]]-tblProducts[[#This Row],[Current price (Ksh)]]</f>
        <v>941</v>
      </c>
      <c r="J82" s="30">
        <f>IF(tblProducts[[#This Row],[Rating]]="","",tblProducts[[#This Row],[Rating]]+tblProducts[[#This Row],[Review]]/1000000+ROW()/100000000)</f>
        <v>5.0000018200000005</v>
      </c>
      <c r="K82" s="30">
        <f>IF(tblProducts[[#This Row],[Review]]="","",tblProducts[[#This Row],[Review]]+tblProducts[[#This Row],[Rating]]/1000)</f>
        <v>1.0049999999999999</v>
      </c>
      <c r="L82" s="31">
        <f>IF(tblProducts[[#This Row],[Discount]]="","",tblProducts[[#This Row],[Discount]]+tblProducts[[#This Row],[Review]]/1000000)</f>
        <v>0.49000099999999996</v>
      </c>
    </row>
    <row r="83" spans="1:12" x14ac:dyDescent="0.3">
      <c r="A83" s="29" t="s">
        <v>361</v>
      </c>
      <c r="B83" s="43">
        <v>1460</v>
      </c>
      <c r="C83" s="43">
        <v>2290</v>
      </c>
      <c r="D83" s="44">
        <v>0.36</v>
      </c>
      <c r="E83" s="45"/>
      <c r="F83" s="30" t="s">
        <v>371</v>
      </c>
      <c r="G83" s="30" t="str">
        <f>IF(tblProducts[[#This Row],[Rating]]="","Missing",IF(tblProducts[[#This Row],[Rating]]&lt;3,"Poor",IF(tblProducts[[#This Row],[Rating]]&lt;=4.5,"Average","Excellent")))</f>
        <v>Missing</v>
      </c>
      <c r="H83" s="30" t="str">
        <f>IF(tblProducts[[#This Row],[Discount]]="","Missing",IF(tblProducts[[#This Row],[Discount]]&lt;20%,"Low Discount",IF(tblProducts[[#This Row],[Discount]]&lt;=40%,"Medium Discount","High Discount")))</f>
        <v>Medium Discount</v>
      </c>
      <c r="I83" s="43">
        <f>tblProducts[[#This Row],[old price (Ksh)]]-tblProducts[[#This Row],[Current price (Ksh)]]</f>
        <v>830</v>
      </c>
      <c r="J83" s="30" t="str">
        <f>IF(tblProducts[[#This Row],[Rating]]="","",tblProducts[[#This Row],[Rating]]+tblProducts[[#This Row],[Review]]/1000000+ROW()/100000000)</f>
        <v/>
      </c>
      <c r="K83" s="30" t="str">
        <f>IF(tblProducts[[#This Row],[Review]]="","",tblProducts[[#This Row],[Review]]+tblProducts[[#This Row],[Rating]]/1000)</f>
        <v/>
      </c>
      <c r="L83" s="31">
        <f>IF(tblProducts[[#This Row],[Discount]]="","",tblProducts[[#This Row],[Discount]]+tblProducts[[#This Row],[Review]]/1000000)</f>
        <v>0.36</v>
      </c>
    </row>
    <row r="84" spans="1:12" x14ac:dyDescent="0.3">
      <c r="A84" s="29" t="s">
        <v>347</v>
      </c>
      <c r="B84" s="43">
        <v>1666</v>
      </c>
      <c r="C84" s="43">
        <v>1699</v>
      </c>
      <c r="D84" s="44">
        <v>0.02</v>
      </c>
      <c r="E84" s="45"/>
      <c r="F84" s="30" t="s">
        <v>371</v>
      </c>
      <c r="G84" s="30" t="str">
        <f>IF(tblProducts[[#This Row],[Rating]]="","Missing",IF(tblProducts[[#This Row],[Rating]]&lt;3,"Poor",IF(tblProducts[[#This Row],[Rating]]&lt;=4.5,"Average","Excellent")))</f>
        <v>Missing</v>
      </c>
      <c r="H84" s="30" t="str">
        <f>IF(tblProducts[[#This Row],[Discount]]="","Missing",IF(tblProducts[[#This Row],[Discount]]&lt;20%,"Low Discount",IF(tblProducts[[#This Row],[Discount]]&lt;=40%,"Medium Discount","High Discount")))</f>
        <v>Low Discount</v>
      </c>
      <c r="I84" s="43">
        <f>tblProducts[[#This Row],[old price (Ksh)]]-tblProducts[[#This Row],[Current price (Ksh)]]</f>
        <v>33</v>
      </c>
      <c r="J84" s="30" t="str">
        <f>IF(tblProducts[[#This Row],[Rating]]="","",tblProducts[[#This Row],[Rating]]+tblProducts[[#This Row],[Review]]/1000000+ROW()/100000000)</f>
        <v/>
      </c>
      <c r="K84" s="30" t="str">
        <f>IF(tblProducts[[#This Row],[Review]]="","",tblProducts[[#This Row],[Review]]+tblProducts[[#This Row],[Rating]]/1000)</f>
        <v/>
      </c>
      <c r="L84" s="31">
        <f>IF(tblProducts[[#This Row],[Discount]]="","",tblProducts[[#This Row],[Discount]]+tblProducts[[#This Row],[Review]]/1000000)</f>
        <v>0.02</v>
      </c>
    </row>
    <row r="85" spans="1:12" x14ac:dyDescent="0.3">
      <c r="A85" s="29" t="s">
        <v>253</v>
      </c>
      <c r="B85" s="43">
        <v>330</v>
      </c>
      <c r="C85" s="43">
        <v>647</v>
      </c>
      <c r="D85" s="44">
        <v>0.49</v>
      </c>
      <c r="E85" s="45">
        <v>1</v>
      </c>
      <c r="F85" s="30">
        <v>4</v>
      </c>
      <c r="G85" s="30" t="str">
        <f>IF(tblProducts[[#This Row],[Rating]]="","Missing",IF(tblProducts[[#This Row],[Rating]]&lt;3,"Poor",IF(tblProducts[[#This Row],[Rating]]&lt;=4.5,"Average","Excellent")))</f>
        <v>Average</v>
      </c>
      <c r="H85" s="30" t="str">
        <f>IF(tblProducts[[#This Row],[Discount]]="","Missing",IF(tblProducts[[#This Row],[Discount]]&lt;20%,"Low Discount",IF(tblProducts[[#This Row],[Discount]]&lt;=40%,"Medium Discount","High Discount")))</f>
        <v>High Discount</v>
      </c>
      <c r="I85" s="43">
        <f>tblProducts[[#This Row],[old price (Ksh)]]-tblProducts[[#This Row],[Current price (Ksh)]]</f>
        <v>317</v>
      </c>
      <c r="J85" s="30">
        <f>IF(tblProducts[[#This Row],[Rating]]="","",tblProducts[[#This Row],[Rating]]+tblProducts[[#This Row],[Review]]/1000000+ROW()/100000000)</f>
        <v>4.0000018500000003</v>
      </c>
      <c r="K85" s="30">
        <f>IF(tblProducts[[#This Row],[Review]]="","",tblProducts[[#This Row],[Review]]+tblProducts[[#This Row],[Rating]]/1000)</f>
        <v>1.004</v>
      </c>
      <c r="L85" s="31">
        <f>IF(tblProducts[[#This Row],[Discount]]="","",tblProducts[[#This Row],[Discount]]+tblProducts[[#This Row],[Review]]/1000000)</f>
        <v>0.49000099999999996</v>
      </c>
    </row>
    <row r="86" spans="1:12" x14ac:dyDescent="0.3">
      <c r="A86" s="29" t="s">
        <v>335</v>
      </c>
      <c r="B86" s="43">
        <v>610</v>
      </c>
      <c r="C86" s="43">
        <v>1060</v>
      </c>
      <c r="D86" s="44">
        <v>0.42</v>
      </c>
      <c r="E86" s="45"/>
      <c r="F86" s="30" t="s">
        <v>371</v>
      </c>
      <c r="G86" s="30" t="str">
        <f>IF(tblProducts[[#This Row],[Rating]]="","Missing",IF(tblProducts[[#This Row],[Rating]]&lt;3,"Poor",IF(tblProducts[[#This Row],[Rating]]&lt;=4.5,"Average","Excellent")))</f>
        <v>Missing</v>
      </c>
      <c r="H86" s="30" t="str">
        <f>IF(tblProducts[[#This Row],[Discount]]="","Missing",IF(tblProducts[[#This Row],[Discount]]&lt;20%,"Low Discount",IF(tblProducts[[#This Row],[Discount]]&lt;=40%,"Medium Discount","High Discount")))</f>
        <v>High Discount</v>
      </c>
      <c r="I86" s="43">
        <f>tblProducts[[#This Row],[old price (Ksh)]]-tblProducts[[#This Row],[Current price (Ksh)]]</f>
        <v>450</v>
      </c>
      <c r="J86" s="30" t="str">
        <f>IF(tblProducts[[#This Row],[Rating]]="","",tblProducts[[#This Row],[Rating]]+tblProducts[[#This Row],[Review]]/1000000+ROW()/100000000)</f>
        <v/>
      </c>
      <c r="K86" s="30" t="str">
        <f>IF(tblProducts[[#This Row],[Review]]="","",tblProducts[[#This Row],[Review]]+tblProducts[[#This Row],[Rating]]/1000)</f>
        <v/>
      </c>
      <c r="L86" s="31">
        <f>IF(tblProducts[[#This Row],[Discount]]="","",tblProducts[[#This Row],[Discount]]+tblProducts[[#This Row],[Review]]/1000000)</f>
        <v>0.42</v>
      </c>
    </row>
    <row r="87" spans="1:12" x14ac:dyDescent="0.3">
      <c r="A87" s="29" t="s">
        <v>154</v>
      </c>
      <c r="B87" s="43">
        <v>176</v>
      </c>
      <c r="C87" s="43">
        <v>345</v>
      </c>
      <c r="D87" s="44">
        <v>0.49</v>
      </c>
      <c r="E87" s="45"/>
      <c r="F87" s="30" t="s">
        <v>371</v>
      </c>
      <c r="G87" s="30" t="str">
        <f>IF(tblProducts[[#This Row],[Rating]]="","Missing",IF(tblProducts[[#This Row],[Rating]]&lt;3,"Poor",IF(tblProducts[[#This Row],[Rating]]&lt;=4.5,"Average","Excellent")))</f>
        <v>Missing</v>
      </c>
      <c r="H87" s="30" t="str">
        <f>IF(tblProducts[[#This Row],[Discount]]="","Missing",IF(tblProducts[[#This Row],[Discount]]&lt;20%,"Low Discount",IF(tblProducts[[#This Row],[Discount]]&lt;=40%,"Medium Discount","High Discount")))</f>
        <v>High Discount</v>
      </c>
      <c r="I87" s="43">
        <f>tblProducts[[#This Row],[old price (Ksh)]]-tblProducts[[#This Row],[Current price (Ksh)]]</f>
        <v>169</v>
      </c>
      <c r="J87" s="30" t="str">
        <f>IF(tblProducts[[#This Row],[Rating]]="","",tblProducts[[#This Row],[Rating]]+tblProducts[[#This Row],[Review]]/1000000+ROW()/100000000)</f>
        <v/>
      </c>
      <c r="K87" s="30" t="str">
        <f>IF(tblProducts[[#This Row],[Review]]="","",tblProducts[[#This Row],[Review]]+tblProducts[[#This Row],[Rating]]/1000)</f>
        <v/>
      </c>
      <c r="L87" s="31">
        <f>IF(tblProducts[[#This Row],[Discount]]="","",tblProducts[[#This Row],[Discount]]+tblProducts[[#This Row],[Review]]/1000000)</f>
        <v>0.49</v>
      </c>
    </row>
    <row r="88" spans="1:12" x14ac:dyDescent="0.3">
      <c r="A88" s="29" t="s">
        <v>256</v>
      </c>
      <c r="B88" s="43">
        <v>1466</v>
      </c>
      <c r="C88" s="43">
        <v>1699</v>
      </c>
      <c r="D88" s="44">
        <v>0.14000000000000001</v>
      </c>
      <c r="E88" s="45"/>
      <c r="F88" s="30" t="s">
        <v>371</v>
      </c>
      <c r="G88" s="30" t="str">
        <f>IF(tblProducts[[#This Row],[Rating]]="","Missing",IF(tblProducts[[#This Row],[Rating]]&lt;3,"Poor",IF(tblProducts[[#This Row],[Rating]]&lt;=4.5,"Average","Excellent")))</f>
        <v>Missing</v>
      </c>
      <c r="H88" s="30" t="str">
        <f>IF(tblProducts[[#This Row],[Discount]]="","Missing",IF(tblProducts[[#This Row],[Discount]]&lt;20%,"Low Discount",IF(tblProducts[[#This Row],[Discount]]&lt;=40%,"Medium Discount","High Discount")))</f>
        <v>Low Discount</v>
      </c>
      <c r="I88" s="43">
        <f>tblProducts[[#This Row],[old price (Ksh)]]-tblProducts[[#This Row],[Current price (Ksh)]]</f>
        <v>233</v>
      </c>
      <c r="J88" s="30" t="str">
        <f>IF(tblProducts[[#This Row],[Rating]]="","",tblProducts[[#This Row],[Rating]]+tblProducts[[#This Row],[Review]]/1000000+ROW()/100000000)</f>
        <v/>
      </c>
      <c r="K88" s="30" t="str">
        <f>IF(tblProducts[[#This Row],[Review]]="","",tblProducts[[#This Row],[Review]]+tblProducts[[#This Row],[Rating]]/1000)</f>
        <v/>
      </c>
      <c r="L88" s="31">
        <f>IF(tblProducts[[#This Row],[Discount]]="","",tblProducts[[#This Row],[Discount]]+tblProducts[[#This Row],[Review]]/1000000)</f>
        <v>0.14000000000000001</v>
      </c>
    </row>
    <row r="89" spans="1:12" x14ac:dyDescent="0.3">
      <c r="A89" s="29" t="s">
        <v>258</v>
      </c>
      <c r="B89" s="43">
        <v>274</v>
      </c>
      <c r="C89" s="43">
        <v>537</v>
      </c>
      <c r="D89" s="44">
        <v>0.49</v>
      </c>
      <c r="E89" s="45"/>
      <c r="F89" s="30" t="s">
        <v>371</v>
      </c>
      <c r="G89" s="30" t="str">
        <f>IF(tblProducts[[#This Row],[Rating]]="","Missing",IF(tblProducts[[#This Row],[Rating]]&lt;3,"Poor",IF(tblProducts[[#This Row],[Rating]]&lt;=4.5,"Average","Excellent")))</f>
        <v>Missing</v>
      </c>
      <c r="H89" s="30" t="str">
        <f>IF(tblProducts[[#This Row],[Discount]]="","Missing",IF(tblProducts[[#This Row],[Discount]]&lt;20%,"Low Discount",IF(tblProducts[[#This Row],[Discount]]&lt;=40%,"Medium Discount","High Discount")))</f>
        <v>High Discount</v>
      </c>
      <c r="I89" s="43">
        <f>tblProducts[[#This Row],[old price (Ksh)]]-tblProducts[[#This Row],[Current price (Ksh)]]</f>
        <v>263</v>
      </c>
      <c r="J89" s="30" t="str">
        <f>IF(tblProducts[[#This Row],[Rating]]="","",tblProducts[[#This Row],[Rating]]+tblProducts[[#This Row],[Review]]/1000000+ROW()/100000000)</f>
        <v/>
      </c>
      <c r="K89" s="30" t="str">
        <f>IF(tblProducts[[#This Row],[Review]]="","",tblProducts[[#This Row],[Review]]+tblProducts[[#This Row],[Rating]]/1000)</f>
        <v/>
      </c>
      <c r="L89" s="31">
        <f>IF(tblProducts[[#This Row],[Discount]]="","",tblProducts[[#This Row],[Discount]]+tblProducts[[#This Row],[Review]]/1000000)</f>
        <v>0.49</v>
      </c>
    </row>
    <row r="90" spans="1:12" x14ac:dyDescent="0.3">
      <c r="A90" s="29" t="s">
        <v>348</v>
      </c>
      <c r="B90" s="43">
        <v>799</v>
      </c>
      <c r="C90" s="43">
        <v>900</v>
      </c>
      <c r="D90" s="44">
        <v>0.11</v>
      </c>
      <c r="E90" s="45"/>
      <c r="F90" s="30" t="s">
        <v>371</v>
      </c>
      <c r="G90" s="30" t="str">
        <f>IF(tblProducts[[#This Row],[Rating]]="","Missing",IF(tblProducts[[#This Row],[Rating]]&lt;3,"Poor",IF(tblProducts[[#This Row],[Rating]]&lt;=4.5,"Average","Excellent")))</f>
        <v>Missing</v>
      </c>
      <c r="H90" s="30" t="str">
        <f>IF(tblProducts[[#This Row],[Discount]]="","Missing",IF(tblProducts[[#This Row],[Discount]]&lt;20%,"Low Discount",IF(tblProducts[[#This Row],[Discount]]&lt;=40%,"Medium Discount","High Discount")))</f>
        <v>Low Discount</v>
      </c>
      <c r="I90" s="43">
        <f>tblProducts[[#This Row],[old price (Ksh)]]-tblProducts[[#This Row],[Current price (Ksh)]]</f>
        <v>101</v>
      </c>
      <c r="J90" s="30" t="str">
        <f>IF(tblProducts[[#This Row],[Rating]]="","",tblProducts[[#This Row],[Rating]]+tblProducts[[#This Row],[Review]]/1000000+ROW()/100000000)</f>
        <v/>
      </c>
      <c r="K90" s="30" t="str">
        <f>IF(tblProducts[[#This Row],[Review]]="","",tblProducts[[#This Row],[Review]]+tblProducts[[#This Row],[Rating]]/1000)</f>
        <v/>
      </c>
      <c r="L90" s="31">
        <f>IF(tblProducts[[#This Row],[Discount]]="","",tblProducts[[#This Row],[Discount]]+tblProducts[[#This Row],[Review]]/1000000)</f>
        <v>0.11</v>
      </c>
    </row>
    <row r="91" spans="1:12" x14ac:dyDescent="0.3">
      <c r="A91" s="29" t="s">
        <v>175</v>
      </c>
      <c r="B91" s="43">
        <v>657</v>
      </c>
      <c r="C91" s="43">
        <v>1288</v>
      </c>
      <c r="D91" s="44">
        <v>0.49</v>
      </c>
      <c r="E91" s="45"/>
      <c r="F91" s="30" t="s">
        <v>371</v>
      </c>
      <c r="G91" s="30" t="str">
        <f>IF(tblProducts[[#This Row],[Rating]]="","Missing",IF(tblProducts[[#This Row],[Rating]]&lt;3,"Poor",IF(tblProducts[[#This Row],[Rating]]&lt;=4.5,"Average","Excellent")))</f>
        <v>Missing</v>
      </c>
      <c r="H91" s="30" t="str">
        <f>IF(tblProducts[[#This Row],[Discount]]="","Missing",IF(tblProducts[[#This Row],[Discount]]&lt;20%,"Low Discount",IF(tblProducts[[#This Row],[Discount]]&lt;=40%,"Medium Discount","High Discount")))</f>
        <v>High Discount</v>
      </c>
      <c r="I91" s="43">
        <f>tblProducts[[#This Row],[old price (Ksh)]]-tblProducts[[#This Row],[Current price (Ksh)]]</f>
        <v>631</v>
      </c>
      <c r="J91" s="30" t="str">
        <f>IF(tblProducts[[#This Row],[Rating]]="","",tblProducts[[#This Row],[Rating]]+tblProducts[[#This Row],[Review]]/1000000+ROW()/100000000)</f>
        <v/>
      </c>
      <c r="K91" s="30" t="str">
        <f>IF(tblProducts[[#This Row],[Review]]="","",tblProducts[[#This Row],[Review]]+tblProducts[[#This Row],[Rating]]/1000)</f>
        <v/>
      </c>
      <c r="L91" s="31">
        <f>IF(tblProducts[[#This Row],[Discount]]="","",tblProducts[[#This Row],[Discount]]+tblProducts[[#This Row],[Review]]/1000000)</f>
        <v>0.49</v>
      </c>
    </row>
    <row r="92" spans="1:12" x14ac:dyDescent="0.3">
      <c r="A92" s="29" t="s">
        <v>264</v>
      </c>
      <c r="B92" s="43">
        <v>1468</v>
      </c>
      <c r="C92" s="43">
        <v>1699</v>
      </c>
      <c r="D92" s="44">
        <v>0.14000000000000001</v>
      </c>
      <c r="E92" s="45"/>
      <c r="F92" s="30" t="s">
        <v>371</v>
      </c>
      <c r="G92" s="30" t="str">
        <f>IF(tblProducts[[#This Row],[Rating]]="","Missing",IF(tblProducts[[#This Row],[Rating]]&lt;3,"Poor",IF(tblProducts[[#This Row],[Rating]]&lt;=4.5,"Average","Excellent")))</f>
        <v>Missing</v>
      </c>
      <c r="H92" s="30" t="str">
        <f>IF(tblProducts[[#This Row],[Discount]]="","Missing",IF(tblProducts[[#This Row],[Discount]]&lt;20%,"Low Discount",IF(tblProducts[[#This Row],[Discount]]&lt;=40%,"Medium Discount","High Discount")))</f>
        <v>Low Discount</v>
      </c>
      <c r="I92" s="43">
        <f>tblProducts[[#This Row],[old price (Ksh)]]-tblProducts[[#This Row],[Current price (Ksh)]]</f>
        <v>231</v>
      </c>
      <c r="J92" s="30" t="str">
        <f>IF(tblProducts[[#This Row],[Rating]]="","",tblProducts[[#This Row],[Rating]]+tblProducts[[#This Row],[Review]]/1000000+ROW()/100000000)</f>
        <v/>
      </c>
      <c r="K92" s="30" t="str">
        <f>IF(tblProducts[[#This Row],[Review]]="","",tblProducts[[#This Row],[Review]]+tblProducts[[#This Row],[Rating]]/1000)</f>
        <v/>
      </c>
      <c r="L92" s="31">
        <f>IF(tblProducts[[#This Row],[Discount]]="","",tblProducts[[#This Row],[Discount]]+tblProducts[[#This Row],[Review]]/1000000)</f>
        <v>0.14000000000000001</v>
      </c>
    </row>
    <row r="93" spans="1:12" x14ac:dyDescent="0.3">
      <c r="A93" s="29" t="s">
        <v>266</v>
      </c>
      <c r="B93" s="43">
        <v>630</v>
      </c>
      <c r="C93" s="43">
        <v>1100</v>
      </c>
      <c r="D93" s="44">
        <v>0.43</v>
      </c>
      <c r="E93" s="45"/>
      <c r="F93" s="30" t="s">
        <v>371</v>
      </c>
      <c r="G93" s="30" t="str">
        <f>IF(tblProducts[[#This Row],[Rating]]="","Missing",IF(tblProducts[[#This Row],[Rating]]&lt;3,"Poor",IF(tblProducts[[#This Row],[Rating]]&lt;=4.5,"Average","Excellent")))</f>
        <v>Missing</v>
      </c>
      <c r="H93" s="30" t="str">
        <f>IF(tblProducts[[#This Row],[Discount]]="","Missing",IF(tblProducts[[#This Row],[Discount]]&lt;20%,"Low Discount",IF(tblProducts[[#This Row],[Discount]]&lt;=40%,"Medium Discount","High Discount")))</f>
        <v>High Discount</v>
      </c>
      <c r="I93" s="43">
        <f>tblProducts[[#This Row],[old price (Ksh)]]-tblProducts[[#This Row],[Current price (Ksh)]]</f>
        <v>470</v>
      </c>
      <c r="J93" s="30" t="str">
        <f>IF(tblProducts[[#This Row],[Rating]]="","",tblProducts[[#This Row],[Rating]]+tblProducts[[#This Row],[Review]]/1000000+ROW()/100000000)</f>
        <v/>
      </c>
      <c r="K93" s="30" t="str">
        <f>IF(tblProducts[[#This Row],[Review]]="","",tblProducts[[#This Row],[Review]]+tblProducts[[#This Row],[Rating]]/1000)</f>
        <v/>
      </c>
      <c r="L93" s="31">
        <f>IF(tblProducts[[#This Row],[Discount]]="","",tblProducts[[#This Row],[Discount]]+tblProducts[[#This Row],[Review]]/1000000)</f>
        <v>0.43</v>
      </c>
    </row>
    <row r="94" spans="1:12" x14ac:dyDescent="0.3">
      <c r="A94" s="29" t="s">
        <v>269</v>
      </c>
      <c r="B94" s="43">
        <v>850</v>
      </c>
      <c r="C94" s="43">
        <v>1700</v>
      </c>
      <c r="D94" s="44">
        <v>0.5</v>
      </c>
      <c r="E94" s="45"/>
      <c r="F94" s="30" t="s">
        <v>371</v>
      </c>
      <c r="G94" s="30" t="str">
        <f>IF(tblProducts[[#This Row],[Rating]]="","Missing",IF(tblProducts[[#This Row],[Rating]]&lt;3,"Poor",IF(tblProducts[[#This Row],[Rating]]&lt;=4.5,"Average","Excellent")))</f>
        <v>Missing</v>
      </c>
      <c r="H94" s="30" t="str">
        <f>IF(tblProducts[[#This Row],[Discount]]="","Missing",IF(tblProducts[[#This Row],[Discount]]&lt;20%,"Low Discount",IF(tblProducts[[#This Row],[Discount]]&lt;=40%,"Medium Discount","High Discount")))</f>
        <v>High Discount</v>
      </c>
      <c r="I94" s="43">
        <f>tblProducts[[#This Row],[old price (Ksh)]]-tblProducts[[#This Row],[Current price (Ksh)]]</f>
        <v>850</v>
      </c>
      <c r="J94" s="30" t="str">
        <f>IF(tblProducts[[#This Row],[Rating]]="","",tblProducts[[#This Row],[Rating]]+tblProducts[[#This Row],[Review]]/1000000+ROW()/100000000)</f>
        <v/>
      </c>
      <c r="K94" s="30" t="str">
        <f>IF(tblProducts[[#This Row],[Review]]="","",tblProducts[[#This Row],[Review]]+tblProducts[[#This Row],[Rating]]/1000)</f>
        <v/>
      </c>
      <c r="L94" s="31">
        <f>IF(tblProducts[[#This Row],[Discount]]="","",tblProducts[[#This Row],[Discount]]+tblProducts[[#This Row],[Review]]/1000000)</f>
        <v>0.5</v>
      </c>
    </row>
    <row r="95" spans="1:12" x14ac:dyDescent="0.3">
      <c r="A95" s="29" t="s">
        <v>272</v>
      </c>
      <c r="B95" s="43">
        <v>1300</v>
      </c>
      <c r="C95" s="43">
        <v>2500</v>
      </c>
      <c r="D95" s="44">
        <v>0.48</v>
      </c>
      <c r="E95" s="45"/>
      <c r="F95" s="30" t="s">
        <v>371</v>
      </c>
      <c r="G95" s="30" t="str">
        <f>IF(tblProducts[[#This Row],[Rating]]="","Missing",IF(tblProducts[[#This Row],[Rating]]&lt;3,"Poor",IF(tblProducts[[#This Row],[Rating]]&lt;=4.5,"Average","Excellent")))</f>
        <v>Missing</v>
      </c>
      <c r="H95" s="30" t="str">
        <f>IF(tblProducts[[#This Row],[Discount]]="","Missing",IF(tblProducts[[#This Row],[Discount]]&lt;20%,"Low Discount",IF(tblProducts[[#This Row],[Discount]]&lt;=40%,"Medium Discount","High Discount")))</f>
        <v>High Discount</v>
      </c>
      <c r="I95" s="43">
        <f>tblProducts[[#This Row],[old price (Ksh)]]-tblProducts[[#This Row],[Current price (Ksh)]]</f>
        <v>1200</v>
      </c>
      <c r="J95" s="30" t="str">
        <f>IF(tblProducts[[#This Row],[Rating]]="","",tblProducts[[#This Row],[Rating]]+tblProducts[[#This Row],[Review]]/1000000+ROW()/100000000)</f>
        <v/>
      </c>
      <c r="K95" s="30" t="str">
        <f>IF(tblProducts[[#This Row],[Review]]="","",tblProducts[[#This Row],[Review]]+tblProducts[[#This Row],[Rating]]/1000)</f>
        <v/>
      </c>
      <c r="L95" s="31">
        <f>IF(tblProducts[[#This Row],[Discount]]="","",tblProducts[[#This Row],[Discount]]+tblProducts[[#This Row],[Review]]/1000000)</f>
        <v>0.48</v>
      </c>
    </row>
    <row r="96" spans="1:12" x14ac:dyDescent="0.3">
      <c r="A96" s="29" t="s">
        <v>274</v>
      </c>
      <c r="B96" s="43">
        <v>105</v>
      </c>
      <c r="C96" s="43">
        <v>200</v>
      </c>
      <c r="D96" s="44">
        <v>0.48</v>
      </c>
      <c r="E96" s="45"/>
      <c r="F96" s="30" t="s">
        <v>371</v>
      </c>
      <c r="G96" s="30" t="str">
        <f>IF(tblProducts[[#This Row],[Rating]]="","Missing",IF(tblProducts[[#This Row],[Rating]]&lt;3,"Poor",IF(tblProducts[[#This Row],[Rating]]&lt;=4.5,"Average","Excellent")))</f>
        <v>Missing</v>
      </c>
      <c r="H96" s="30" t="str">
        <f>IF(tblProducts[[#This Row],[Discount]]="","Missing",IF(tblProducts[[#This Row],[Discount]]&lt;20%,"Low Discount",IF(tblProducts[[#This Row],[Discount]]&lt;=40%,"Medium Discount","High Discount")))</f>
        <v>High Discount</v>
      </c>
      <c r="I96" s="43">
        <f>tblProducts[[#This Row],[old price (Ksh)]]-tblProducts[[#This Row],[Current price (Ksh)]]</f>
        <v>95</v>
      </c>
      <c r="J96" s="30" t="str">
        <f>IF(tblProducts[[#This Row],[Rating]]="","",tblProducts[[#This Row],[Rating]]+tblProducts[[#This Row],[Review]]/1000000+ROW()/100000000)</f>
        <v/>
      </c>
      <c r="K96" s="30" t="str">
        <f>IF(tblProducts[[#This Row],[Review]]="","",tblProducts[[#This Row],[Review]]+tblProducts[[#This Row],[Rating]]/1000)</f>
        <v/>
      </c>
      <c r="L96" s="31">
        <f>IF(tblProducts[[#This Row],[Discount]]="","",tblProducts[[#This Row],[Discount]]+tblProducts[[#This Row],[Review]]/1000000)</f>
        <v>0.48</v>
      </c>
    </row>
    <row r="97" spans="1:12" x14ac:dyDescent="0.3">
      <c r="A97" s="29" t="s">
        <v>277</v>
      </c>
      <c r="B97" s="43">
        <v>899</v>
      </c>
      <c r="C97" s="43">
        <v>1699</v>
      </c>
      <c r="D97" s="44">
        <v>0.47</v>
      </c>
      <c r="E97" s="45"/>
      <c r="F97" s="30" t="s">
        <v>371</v>
      </c>
      <c r="G97" s="30" t="str">
        <f>IF(tblProducts[[#This Row],[Rating]]="","Missing",IF(tblProducts[[#This Row],[Rating]]&lt;3,"Poor",IF(tblProducts[[#This Row],[Rating]]&lt;=4.5,"Average","Excellent")))</f>
        <v>Missing</v>
      </c>
      <c r="H97" s="30" t="str">
        <f>IF(tblProducts[[#This Row],[Discount]]="","Missing",IF(tblProducts[[#This Row],[Discount]]&lt;20%,"Low Discount",IF(tblProducts[[#This Row],[Discount]]&lt;=40%,"Medium Discount","High Discount")))</f>
        <v>High Discount</v>
      </c>
      <c r="I97" s="43">
        <f>tblProducts[[#This Row],[old price (Ksh)]]-tblProducts[[#This Row],[Current price (Ksh)]]</f>
        <v>800</v>
      </c>
      <c r="J97" s="30" t="str">
        <f>IF(tblProducts[[#This Row],[Rating]]="","",tblProducts[[#This Row],[Rating]]+tblProducts[[#This Row],[Review]]/1000000+ROW()/100000000)</f>
        <v/>
      </c>
      <c r="K97" s="30" t="str">
        <f>IF(tblProducts[[#This Row],[Review]]="","",tblProducts[[#This Row],[Review]]+tblProducts[[#This Row],[Rating]]/1000)</f>
        <v/>
      </c>
      <c r="L97" s="31">
        <f>IF(tblProducts[[#This Row],[Discount]]="","",tblProducts[[#This Row],[Discount]]+tblProducts[[#This Row],[Review]]/1000000)</f>
        <v>0.47</v>
      </c>
    </row>
    <row r="98" spans="1:12" x14ac:dyDescent="0.3">
      <c r="A98" s="29" t="s">
        <v>277</v>
      </c>
      <c r="B98" s="43">
        <v>899</v>
      </c>
      <c r="C98" s="43">
        <v>1699</v>
      </c>
      <c r="D98" s="44">
        <v>0.47</v>
      </c>
      <c r="E98" s="45"/>
      <c r="F98" s="30" t="s">
        <v>371</v>
      </c>
      <c r="G98" s="30" t="str">
        <f>IF(tblProducts[[#This Row],[Rating]]="","Missing",IF(tblProducts[[#This Row],[Rating]]&lt;3,"Poor",IF(tblProducts[[#This Row],[Rating]]&lt;=4.5,"Average","Excellent")))</f>
        <v>Missing</v>
      </c>
      <c r="H98" s="30" t="str">
        <f>IF(tblProducts[[#This Row],[Discount]]="","Missing",IF(tblProducts[[#This Row],[Discount]]&lt;20%,"Low Discount",IF(tblProducts[[#This Row],[Discount]]&lt;=40%,"Medium Discount","High Discount")))</f>
        <v>High Discount</v>
      </c>
      <c r="I98" s="43">
        <f>tblProducts[[#This Row],[old price (Ksh)]]-tblProducts[[#This Row],[Current price (Ksh)]]</f>
        <v>800</v>
      </c>
      <c r="J98" s="30" t="str">
        <f>IF(tblProducts[[#This Row],[Rating]]="","",tblProducts[[#This Row],[Rating]]+tblProducts[[#This Row],[Review]]/1000000+ROW()/100000000)</f>
        <v/>
      </c>
      <c r="K98" s="30" t="str">
        <f>IF(tblProducts[[#This Row],[Review]]="","",tblProducts[[#This Row],[Review]]+tblProducts[[#This Row],[Rating]]/1000)</f>
        <v/>
      </c>
      <c r="L98" s="31">
        <f>IF(tblProducts[[#This Row],[Discount]]="","",tblProducts[[#This Row],[Discount]]+tblProducts[[#This Row],[Review]]/1000000)</f>
        <v>0.47</v>
      </c>
    </row>
    <row r="99" spans="1:12" x14ac:dyDescent="0.3">
      <c r="A99" s="29" t="s">
        <v>349</v>
      </c>
      <c r="B99" s="43">
        <v>1200</v>
      </c>
      <c r="C99" s="43">
        <v>2400</v>
      </c>
      <c r="D99" s="44">
        <v>0.5</v>
      </c>
      <c r="E99" s="45"/>
      <c r="F99" s="30" t="s">
        <v>371</v>
      </c>
      <c r="G99" s="30" t="str">
        <f>IF(tblProducts[[#This Row],[Rating]]="","Missing",IF(tblProducts[[#This Row],[Rating]]&lt;3,"Poor",IF(tblProducts[[#This Row],[Rating]]&lt;=4.5,"Average","Excellent")))</f>
        <v>Missing</v>
      </c>
      <c r="H99" s="30" t="str">
        <f>IF(tblProducts[[#This Row],[Discount]]="","Missing",IF(tblProducts[[#This Row],[Discount]]&lt;20%,"Low Discount",IF(tblProducts[[#This Row],[Discount]]&lt;=40%,"Medium Discount","High Discount")))</f>
        <v>High Discount</v>
      </c>
      <c r="I99" s="43">
        <f>tblProducts[[#This Row],[old price (Ksh)]]-tblProducts[[#This Row],[Current price (Ksh)]]</f>
        <v>1200</v>
      </c>
      <c r="J99" s="30" t="str">
        <f>IF(tblProducts[[#This Row],[Rating]]="","",tblProducts[[#This Row],[Rating]]+tblProducts[[#This Row],[Review]]/1000000+ROW()/100000000)</f>
        <v/>
      </c>
      <c r="K99" s="30" t="str">
        <f>IF(tblProducts[[#This Row],[Review]]="","",tblProducts[[#This Row],[Review]]+tblProducts[[#This Row],[Rating]]/1000)</f>
        <v/>
      </c>
      <c r="L99" s="31">
        <f>IF(tblProducts[[#This Row],[Discount]]="","",tblProducts[[#This Row],[Discount]]+tblProducts[[#This Row],[Review]]/1000000)</f>
        <v>0.5</v>
      </c>
    </row>
    <row r="100" spans="1:12" x14ac:dyDescent="0.3">
      <c r="A100" s="29" t="s">
        <v>280</v>
      </c>
      <c r="B100" s="43">
        <v>1526</v>
      </c>
      <c r="C100" s="43">
        <v>1660</v>
      </c>
      <c r="D100" s="44">
        <v>0.08</v>
      </c>
      <c r="E100" s="45"/>
      <c r="F100" s="30" t="s">
        <v>371</v>
      </c>
      <c r="G100" s="30" t="str">
        <f>IF(tblProducts[[#This Row],[Rating]]="","Missing",IF(tblProducts[[#This Row],[Rating]]&lt;3,"Poor",IF(tblProducts[[#This Row],[Rating]]&lt;=4.5,"Average","Excellent")))</f>
        <v>Missing</v>
      </c>
      <c r="H100" s="30" t="str">
        <f>IF(tblProducts[[#This Row],[Discount]]="","Missing",IF(tblProducts[[#This Row],[Discount]]&lt;20%,"Low Discount",IF(tblProducts[[#This Row],[Discount]]&lt;=40%,"Medium Discount","High Discount")))</f>
        <v>Low Discount</v>
      </c>
      <c r="I100" s="43">
        <f>tblProducts[[#This Row],[old price (Ksh)]]-tblProducts[[#This Row],[Current price (Ksh)]]</f>
        <v>134</v>
      </c>
      <c r="J100" s="30" t="str">
        <f>IF(tblProducts[[#This Row],[Rating]]="","",tblProducts[[#This Row],[Rating]]+tblProducts[[#This Row],[Review]]/1000000+ROW()/100000000)</f>
        <v/>
      </c>
      <c r="K100" s="30" t="str">
        <f>IF(tblProducts[[#This Row],[Review]]="","",tblProducts[[#This Row],[Review]]+tblProducts[[#This Row],[Rating]]/1000)</f>
        <v/>
      </c>
      <c r="L100" s="31">
        <f>IF(tblProducts[[#This Row],[Discount]]="","",tblProducts[[#This Row],[Discount]]+tblProducts[[#This Row],[Review]]/1000000)</f>
        <v>0.08</v>
      </c>
    </row>
    <row r="101" spans="1:12" x14ac:dyDescent="0.3">
      <c r="A101" s="29" t="s">
        <v>282</v>
      </c>
      <c r="B101" s="43">
        <v>1462</v>
      </c>
      <c r="C101" s="43">
        <v>1499</v>
      </c>
      <c r="D101" s="44">
        <v>0.02</v>
      </c>
      <c r="E101" s="45"/>
      <c r="F101" s="30" t="s">
        <v>371</v>
      </c>
      <c r="G101" s="30" t="str">
        <f>IF(tblProducts[[#This Row],[Rating]]="","Missing",IF(tblProducts[[#This Row],[Rating]]&lt;3,"Poor",IF(tblProducts[[#This Row],[Rating]]&lt;=4.5,"Average","Excellent")))</f>
        <v>Missing</v>
      </c>
      <c r="H101" s="30" t="str">
        <f>IF(tblProducts[[#This Row],[Discount]]="","Missing",IF(tblProducts[[#This Row],[Discount]]&lt;20%,"Low Discount",IF(tblProducts[[#This Row],[Discount]]&lt;=40%,"Medium Discount","High Discount")))</f>
        <v>Low Discount</v>
      </c>
      <c r="I101" s="43">
        <f>tblProducts[[#This Row],[old price (Ksh)]]-tblProducts[[#This Row],[Current price (Ksh)]]</f>
        <v>37</v>
      </c>
      <c r="J101" s="30" t="str">
        <f>IF(tblProducts[[#This Row],[Rating]]="","",tblProducts[[#This Row],[Rating]]+tblProducts[[#This Row],[Review]]/1000000+ROW()/100000000)</f>
        <v/>
      </c>
      <c r="K101" s="30" t="str">
        <f>IF(tblProducts[[#This Row],[Review]]="","",tblProducts[[#This Row],[Review]]+tblProducts[[#This Row],[Rating]]/1000)</f>
        <v/>
      </c>
      <c r="L101" s="31">
        <f>IF(tblProducts[[#This Row],[Discount]]="","",tblProducts[[#This Row],[Discount]]+tblProducts[[#This Row],[Review]]/1000000)</f>
        <v>0.02</v>
      </c>
    </row>
    <row r="102" spans="1:12" x14ac:dyDescent="0.3">
      <c r="A102" s="29" t="s">
        <v>284</v>
      </c>
      <c r="B102" s="43">
        <v>248</v>
      </c>
      <c r="C102" s="43">
        <v>486</v>
      </c>
      <c r="D102" s="44">
        <v>0.49</v>
      </c>
      <c r="E102" s="45"/>
      <c r="F102" s="30" t="s">
        <v>371</v>
      </c>
      <c r="G102" s="30" t="str">
        <f>IF(tblProducts[[#This Row],[Rating]]="","Missing",IF(tblProducts[[#This Row],[Rating]]&lt;3,"Poor",IF(tblProducts[[#This Row],[Rating]]&lt;=4.5,"Average","Excellent")))</f>
        <v>Missing</v>
      </c>
      <c r="H102" s="30" t="str">
        <f>IF(tblProducts[[#This Row],[Discount]]="","Missing",IF(tblProducts[[#This Row],[Discount]]&lt;20%,"Low Discount",IF(tblProducts[[#This Row],[Discount]]&lt;=40%,"Medium Discount","High Discount")))</f>
        <v>High Discount</v>
      </c>
      <c r="I102" s="43">
        <f>tblProducts[[#This Row],[old price (Ksh)]]-tblProducts[[#This Row],[Current price (Ksh)]]</f>
        <v>238</v>
      </c>
      <c r="J102" s="30" t="str">
        <f>IF(tblProducts[[#This Row],[Rating]]="","",tblProducts[[#This Row],[Rating]]+tblProducts[[#This Row],[Review]]/1000000+ROW()/100000000)</f>
        <v/>
      </c>
      <c r="K102" s="30" t="str">
        <f>IF(tblProducts[[#This Row],[Review]]="","",tblProducts[[#This Row],[Review]]+tblProducts[[#This Row],[Rating]]/1000)</f>
        <v/>
      </c>
      <c r="L102" s="31">
        <f>IF(tblProducts[[#This Row],[Discount]]="","",tblProducts[[#This Row],[Discount]]+tblProducts[[#This Row],[Review]]/1000000)</f>
        <v>0.49</v>
      </c>
    </row>
    <row r="103" spans="1:12" x14ac:dyDescent="0.3">
      <c r="A103" s="29" t="s">
        <v>287</v>
      </c>
      <c r="B103" s="43">
        <v>3546</v>
      </c>
      <c r="C103" s="43">
        <v>3699</v>
      </c>
      <c r="D103" s="44">
        <v>0.04</v>
      </c>
      <c r="E103" s="45"/>
      <c r="F103" s="30" t="s">
        <v>371</v>
      </c>
      <c r="G103" s="30" t="str">
        <f>IF(tblProducts[[#This Row],[Rating]]="","Missing",IF(tblProducts[[#This Row],[Rating]]&lt;3,"Poor",IF(tblProducts[[#This Row],[Rating]]&lt;=4.5,"Average","Excellent")))</f>
        <v>Missing</v>
      </c>
      <c r="H103" s="30" t="str">
        <f>IF(tblProducts[[#This Row],[Discount]]="","Missing",IF(tblProducts[[#This Row],[Discount]]&lt;20%,"Low Discount",IF(tblProducts[[#This Row],[Discount]]&lt;=40%,"Medium Discount","High Discount")))</f>
        <v>Low Discount</v>
      </c>
      <c r="I103" s="43">
        <f>tblProducts[[#This Row],[old price (Ksh)]]-tblProducts[[#This Row],[Current price (Ksh)]]</f>
        <v>153</v>
      </c>
      <c r="J103" s="30" t="str">
        <f>IF(tblProducts[[#This Row],[Rating]]="","",tblProducts[[#This Row],[Rating]]+tblProducts[[#This Row],[Review]]/1000000+ROW()/100000000)</f>
        <v/>
      </c>
      <c r="K103" s="30" t="str">
        <f>IF(tblProducts[[#This Row],[Review]]="","",tblProducts[[#This Row],[Review]]+tblProducts[[#This Row],[Rating]]/1000)</f>
        <v/>
      </c>
      <c r="L103" s="31">
        <f>IF(tblProducts[[#This Row],[Discount]]="","",tblProducts[[#This Row],[Discount]]+tblProducts[[#This Row],[Review]]/1000000)</f>
        <v>0.04</v>
      </c>
    </row>
    <row r="104" spans="1:12" x14ac:dyDescent="0.3">
      <c r="A104" s="29" t="s">
        <v>289</v>
      </c>
      <c r="B104" s="43">
        <v>525</v>
      </c>
      <c r="C104" s="43">
        <v>1029</v>
      </c>
      <c r="D104" s="44">
        <v>0.49</v>
      </c>
      <c r="E104" s="45"/>
      <c r="F104" s="30" t="s">
        <v>371</v>
      </c>
      <c r="G104" s="30" t="str">
        <f>IF(tblProducts[[#This Row],[Rating]]="","Missing",IF(tblProducts[[#This Row],[Rating]]&lt;3,"Poor",IF(tblProducts[[#This Row],[Rating]]&lt;=4.5,"Average","Excellent")))</f>
        <v>Missing</v>
      </c>
      <c r="H104" s="30" t="str">
        <f>IF(tblProducts[[#This Row],[Discount]]="","Missing",IF(tblProducts[[#This Row],[Discount]]&lt;20%,"Low Discount",IF(tblProducts[[#This Row],[Discount]]&lt;=40%,"Medium Discount","High Discount")))</f>
        <v>High Discount</v>
      </c>
      <c r="I104" s="43">
        <f>tblProducts[[#This Row],[old price (Ksh)]]-tblProducts[[#This Row],[Current price (Ksh)]]</f>
        <v>504</v>
      </c>
      <c r="J104" s="30" t="str">
        <f>IF(tblProducts[[#This Row],[Rating]]="","",tblProducts[[#This Row],[Rating]]+tblProducts[[#This Row],[Review]]/1000000+ROW()/100000000)</f>
        <v/>
      </c>
      <c r="K104" s="30" t="str">
        <f>IF(tblProducts[[#This Row],[Review]]="","",tblProducts[[#This Row],[Review]]+tblProducts[[#This Row],[Rating]]/1000)</f>
        <v/>
      </c>
      <c r="L104" s="31">
        <f>IF(tblProducts[[#This Row],[Discount]]="","",tblProducts[[#This Row],[Discount]]+tblProducts[[#This Row],[Review]]/1000000)</f>
        <v>0.49</v>
      </c>
    </row>
    <row r="105" spans="1:12" x14ac:dyDescent="0.3">
      <c r="A105" s="29" t="s">
        <v>362</v>
      </c>
      <c r="B105" s="43">
        <v>1080</v>
      </c>
      <c r="C105" s="43">
        <v>1874</v>
      </c>
      <c r="D105" s="44">
        <v>0.42</v>
      </c>
      <c r="E105" s="45"/>
      <c r="F105" s="30" t="s">
        <v>371</v>
      </c>
      <c r="G105" s="30" t="str">
        <f>IF(tblProducts[[#This Row],[Rating]]="","Missing",IF(tblProducts[[#This Row],[Rating]]&lt;3,"Poor",IF(tblProducts[[#This Row],[Rating]]&lt;=4.5,"Average","Excellent")))</f>
        <v>Missing</v>
      </c>
      <c r="H105" s="30" t="str">
        <f>IF(tblProducts[[#This Row],[Discount]]="","Missing",IF(tblProducts[[#This Row],[Discount]]&lt;20%,"Low Discount",IF(tblProducts[[#This Row],[Discount]]&lt;=40%,"Medium Discount","High Discount")))</f>
        <v>High Discount</v>
      </c>
      <c r="I105" s="43">
        <f>tblProducts[[#This Row],[old price (Ksh)]]-tblProducts[[#This Row],[Current price (Ksh)]]</f>
        <v>794</v>
      </c>
      <c r="J105" s="30" t="str">
        <f>IF(tblProducts[[#This Row],[Rating]]="","",tblProducts[[#This Row],[Rating]]+tblProducts[[#This Row],[Review]]/1000000+ROW()/100000000)</f>
        <v/>
      </c>
      <c r="K105" s="30" t="str">
        <f>IF(tblProducts[[#This Row],[Review]]="","",tblProducts[[#This Row],[Review]]+tblProducts[[#This Row],[Rating]]/1000)</f>
        <v/>
      </c>
      <c r="L105" s="31">
        <f>IF(tblProducts[[#This Row],[Discount]]="","",tblProducts[[#This Row],[Discount]]+tblProducts[[#This Row],[Review]]/1000000)</f>
        <v>0.42</v>
      </c>
    </row>
    <row r="106" spans="1:12" x14ac:dyDescent="0.3">
      <c r="A106" s="29" t="s">
        <v>350</v>
      </c>
      <c r="B106" s="43">
        <v>3640</v>
      </c>
      <c r="C106" s="43">
        <v>4588</v>
      </c>
      <c r="D106" s="44">
        <v>0.21</v>
      </c>
      <c r="E106" s="45">
        <v>1</v>
      </c>
      <c r="F106" s="30">
        <v>5</v>
      </c>
      <c r="G106" s="30" t="str">
        <f>IF(tblProducts[[#This Row],[Rating]]="","Missing",IF(tblProducts[[#This Row],[Rating]]&lt;3,"Poor",IF(tblProducts[[#This Row],[Rating]]&lt;=4.5,"Average","Excellent")))</f>
        <v>Excellent</v>
      </c>
      <c r="H106" s="30" t="str">
        <f>IF(tblProducts[[#This Row],[Discount]]="","Missing",IF(tblProducts[[#This Row],[Discount]]&lt;20%,"Low Discount",IF(tblProducts[[#This Row],[Discount]]&lt;=40%,"Medium Discount","High Discount")))</f>
        <v>Medium Discount</v>
      </c>
      <c r="I106" s="43">
        <f>tblProducts[[#This Row],[old price (Ksh)]]-tblProducts[[#This Row],[Current price (Ksh)]]</f>
        <v>948</v>
      </c>
      <c r="J106" s="30">
        <f>IF(tblProducts[[#This Row],[Rating]]="","",tblProducts[[#This Row],[Rating]]+tblProducts[[#This Row],[Review]]/1000000+ROW()/100000000)</f>
        <v>5.0000020599999999</v>
      </c>
      <c r="K106" s="30">
        <f>IF(tblProducts[[#This Row],[Review]]="","",tblProducts[[#This Row],[Review]]+tblProducts[[#This Row],[Rating]]/1000)</f>
        <v>1.0049999999999999</v>
      </c>
      <c r="L106" s="31">
        <f>IF(tblProducts[[#This Row],[Discount]]="","",tblProducts[[#This Row],[Discount]]+tblProducts[[#This Row],[Review]]/1000000)</f>
        <v>0.21000099999999999</v>
      </c>
    </row>
    <row r="107" spans="1:12" x14ac:dyDescent="0.3">
      <c r="A107" s="29" t="s">
        <v>351</v>
      </c>
      <c r="B107" s="43">
        <v>1420</v>
      </c>
      <c r="C107" s="43">
        <v>2420</v>
      </c>
      <c r="D107" s="44">
        <v>0.41</v>
      </c>
      <c r="E107" s="45"/>
      <c r="F107" s="30" t="s">
        <v>371</v>
      </c>
      <c r="G107" s="30" t="str">
        <f>IF(tblProducts[[#This Row],[Rating]]="","Missing",IF(tblProducts[[#This Row],[Rating]]&lt;3,"Poor",IF(tblProducts[[#This Row],[Rating]]&lt;=4.5,"Average","Excellent")))</f>
        <v>Missing</v>
      </c>
      <c r="H107" s="30" t="str">
        <f>IF(tblProducts[[#This Row],[Discount]]="","Missing",IF(tblProducts[[#This Row],[Discount]]&lt;20%,"Low Discount",IF(tblProducts[[#This Row],[Discount]]&lt;=40%,"Medium Discount","High Discount")))</f>
        <v>High Discount</v>
      </c>
      <c r="I107" s="43">
        <f>tblProducts[[#This Row],[old price (Ksh)]]-tblProducts[[#This Row],[Current price (Ksh)]]</f>
        <v>1000</v>
      </c>
      <c r="J107" s="30" t="str">
        <f>IF(tblProducts[[#This Row],[Rating]]="","",tblProducts[[#This Row],[Rating]]+tblProducts[[#This Row],[Review]]/1000000+ROW()/100000000)</f>
        <v/>
      </c>
      <c r="K107" s="30" t="str">
        <f>IF(tblProducts[[#This Row],[Review]]="","",tblProducts[[#This Row],[Review]]+tblProducts[[#This Row],[Rating]]/1000)</f>
        <v/>
      </c>
      <c r="L107" s="31">
        <f>IF(tblProducts[[#This Row],[Discount]]="","",tblProducts[[#This Row],[Discount]]+tblProducts[[#This Row],[Review]]/1000000)</f>
        <v>0.41</v>
      </c>
    </row>
    <row r="108" spans="1:12" x14ac:dyDescent="0.3">
      <c r="A108" s="29" t="s">
        <v>352</v>
      </c>
      <c r="B108" s="43">
        <v>1875</v>
      </c>
      <c r="C108" s="43">
        <v>1899</v>
      </c>
      <c r="D108" s="44">
        <v>0.01</v>
      </c>
      <c r="E108" s="45"/>
      <c r="F108" s="30" t="s">
        <v>371</v>
      </c>
      <c r="G108" s="30" t="str">
        <f>IF(tblProducts[[#This Row],[Rating]]="","Missing",IF(tblProducts[[#This Row],[Rating]]&lt;3,"Poor",IF(tblProducts[[#This Row],[Rating]]&lt;=4.5,"Average","Excellent")))</f>
        <v>Missing</v>
      </c>
      <c r="H108" s="30" t="str">
        <f>IF(tblProducts[[#This Row],[Discount]]="","Missing",IF(tblProducts[[#This Row],[Discount]]&lt;20%,"Low Discount",IF(tblProducts[[#This Row],[Discount]]&lt;=40%,"Medium Discount","High Discount")))</f>
        <v>Low Discount</v>
      </c>
      <c r="I108" s="43">
        <f>tblProducts[[#This Row],[old price (Ksh)]]-tblProducts[[#This Row],[Current price (Ksh)]]</f>
        <v>24</v>
      </c>
      <c r="J108" s="30" t="str">
        <f>IF(tblProducts[[#This Row],[Rating]]="","",tblProducts[[#This Row],[Rating]]+tblProducts[[#This Row],[Review]]/1000000+ROW()/100000000)</f>
        <v/>
      </c>
      <c r="K108" s="30" t="str">
        <f>IF(tblProducts[[#This Row],[Review]]="","",tblProducts[[#This Row],[Review]]+tblProducts[[#This Row],[Rating]]/1000)</f>
        <v/>
      </c>
      <c r="L108" s="31">
        <f>IF(tblProducts[[#This Row],[Discount]]="","",tblProducts[[#This Row],[Discount]]+tblProducts[[#This Row],[Review]]/1000000)</f>
        <v>0.01</v>
      </c>
    </row>
    <row r="109" spans="1:12" x14ac:dyDescent="0.3">
      <c r="A109" s="29" t="s">
        <v>353</v>
      </c>
      <c r="B109" s="43">
        <v>198</v>
      </c>
      <c r="C109" s="43">
        <v>260</v>
      </c>
      <c r="D109" s="44">
        <v>0.24</v>
      </c>
      <c r="E109" s="45"/>
      <c r="F109" s="30" t="s">
        <v>371</v>
      </c>
      <c r="G109" s="30" t="str">
        <f>IF(tblProducts[[#This Row],[Rating]]="","Missing",IF(tblProducts[[#This Row],[Rating]]&lt;3,"Poor",IF(tblProducts[[#This Row],[Rating]]&lt;=4.5,"Average","Excellent")))</f>
        <v>Missing</v>
      </c>
      <c r="H109" s="30" t="str">
        <f>IF(tblProducts[[#This Row],[Discount]]="","Missing",IF(tblProducts[[#This Row],[Discount]]&lt;20%,"Low Discount",IF(tblProducts[[#This Row],[Discount]]&lt;=40%,"Medium Discount","High Discount")))</f>
        <v>Medium Discount</v>
      </c>
      <c r="I109" s="43">
        <f>tblProducts[[#This Row],[old price (Ksh)]]-tblProducts[[#This Row],[Current price (Ksh)]]</f>
        <v>62</v>
      </c>
      <c r="J109" s="30" t="str">
        <f>IF(tblProducts[[#This Row],[Rating]]="","",tblProducts[[#This Row],[Rating]]+tblProducts[[#This Row],[Review]]/1000000+ROW()/100000000)</f>
        <v/>
      </c>
      <c r="K109" s="30" t="str">
        <f>IF(tblProducts[[#This Row],[Review]]="","",tblProducts[[#This Row],[Review]]+tblProducts[[#This Row],[Rating]]/1000)</f>
        <v/>
      </c>
      <c r="L109" s="31">
        <f>IF(tblProducts[[#This Row],[Discount]]="","",tblProducts[[#This Row],[Discount]]+tblProducts[[#This Row],[Review]]/1000000)</f>
        <v>0.24</v>
      </c>
    </row>
    <row r="110" spans="1:12" x14ac:dyDescent="0.3">
      <c r="A110" s="29" t="s">
        <v>363</v>
      </c>
      <c r="B110" s="43">
        <v>1150</v>
      </c>
      <c r="C110" s="43">
        <v>1737</v>
      </c>
      <c r="D110" s="44">
        <v>0.34</v>
      </c>
      <c r="E110" s="45"/>
      <c r="F110" s="30" t="s">
        <v>371</v>
      </c>
      <c r="G110" s="30" t="str">
        <f>IF(tblProducts[[#This Row],[Rating]]="","Missing",IF(tblProducts[[#This Row],[Rating]]&lt;3,"Poor",IF(tblProducts[[#This Row],[Rating]]&lt;=4.5,"Average","Excellent")))</f>
        <v>Missing</v>
      </c>
      <c r="H110" s="30" t="str">
        <f>IF(tblProducts[[#This Row],[Discount]]="","Missing",IF(tblProducts[[#This Row],[Discount]]&lt;20%,"Low Discount",IF(tblProducts[[#This Row],[Discount]]&lt;=40%,"Medium Discount","High Discount")))</f>
        <v>Medium Discount</v>
      </c>
      <c r="I110" s="43">
        <f>tblProducts[[#This Row],[old price (Ksh)]]-tblProducts[[#This Row],[Current price (Ksh)]]</f>
        <v>587</v>
      </c>
      <c r="J110" s="30" t="str">
        <f>IF(tblProducts[[#This Row],[Rating]]="","",tblProducts[[#This Row],[Rating]]+tblProducts[[#This Row],[Review]]/1000000+ROW()/100000000)</f>
        <v/>
      </c>
      <c r="K110" s="30" t="str">
        <f>IF(tblProducts[[#This Row],[Review]]="","",tblProducts[[#This Row],[Review]]+tblProducts[[#This Row],[Rating]]/1000)</f>
        <v/>
      </c>
      <c r="L110" s="31">
        <f>IF(tblProducts[[#This Row],[Discount]]="","",tblProducts[[#This Row],[Discount]]+tblProducts[[#This Row],[Review]]/1000000)</f>
        <v>0.34</v>
      </c>
    </row>
    <row r="111" spans="1:12" x14ac:dyDescent="0.3">
      <c r="A111" s="29" t="s">
        <v>354</v>
      </c>
      <c r="B111" s="43">
        <v>1190</v>
      </c>
      <c r="C111" s="43">
        <v>1810</v>
      </c>
      <c r="D111" s="44">
        <v>0.34</v>
      </c>
      <c r="E111" s="45"/>
      <c r="F111" s="30" t="s">
        <v>371</v>
      </c>
      <c r="G111" s="30" t="str">
        <f>IF(tblProducts[[#This Row],[Rating]]="","Missing",IF(tblProducts[[#This Row],[Rating]]&lt;3,"Poor",IF(tblProducts[[#This Row],[Rating]]&lt;=4.5,"Average","Excellent")))</f>
        <v>Missing</v>
      </c>
      <c r="H111" s="30" t="str">
        <f>IF(tblProducts[[#This Row],[Discount]]="","Missing",IF(tblProducts[[#This Row],[Discount]]&lt;20%,"Low Discount",IF(tblProducts[[#This Row],[Discount]]&lt;=40%,"Medium Discount","High Discount")))</f>
        <v>Medium Discount</v>
      </c>
      <c r="I111" s="43">
        <f>tblProducts[[#This Row],[old price (Ksh)]]-tblProducts[[#This Row],[Current price (Ksh)]]</f>
        <v>620</v>
      </c>
      <c r="J111" s="30" t="str">
        <f>IF(tblProducts[[#This Row],[Rating]]="","",tblProducts[[#This Row],[Rating]]+tblProducts[[#This Row],[Review]]/1000000+ROW()/100000000)</f>
        <v/>
      </c>
      <c r="K111" s="30" t="str">
        <f>IF(tblProducts[[#This Row],[Review]]="","",tblProducts[[#This Row],[Review]]+tblProducts[[#This Row],[Rating]]/1000)</f>
        <v/>
      </c>
      <c r="L111" s="31">
        <f>IF(tblProducts[[#This Row],[Discount]]="","",tblProducts[[#This Row],[Discount]]+tblProducts[[#This Row],[Review]]/1000000)</f>
        <v>0.34</v>
      </c>
    </row>
    <row r="112" spans="1:12" x14ac:dyDescent="0.3">
      <c r="A112" s="29" t="s">
        <v>312</v>
      </c>
      <c r="B112" s="43">
        <v>1658</v>
      </c>
      <c r="C112" s="43">
        <v>1699</v>
      </c>
      <c r="D112" s="44">
        <v>0.02</v>
      </c>
      <c r="E112" s="45"/>
      <c r="F112" s="30" t="s">
        <v>371</v>
      </c>
      <c r="G112" s="30" t="str">
        <f>IF(tblProducts[[#This Row],[Rating]]="","Missing",IF(tblProducts[[#This Row],[Rating]]&lt;3,"Poor",IF(tblProducts[[#This Row],[Rating]]&lt;=4.5,"Average","Excellent")))</f>
        <v>Missing</v>
      </c>
      <c r="H112" s="30" t="str">
        <f>IF(tblProducts[[#This Row],[Discount]]="","Missing",IF(tblProducts[[#This Row],[Discount]]&lt;20%,"Low Discount",IF(tblProducts[[#This Row],[Discount]]&lt;=40%,"Medium Discount","High Discount")))</f>
        <v>Low Discount</v>
      </c>
      <c r="I112" s="43">
        <f>tblProducts[[#This Row],[old price (Ksh)]]-tblProducts[[#This Row],[Current price (Ksh)]]</f>
        <v>41</v>
      </c>
      <c r="J112" s="30" t="str">
        <f>IF(tblProducts[[#This Row],[Rating]]="","",tblProducts[[#This Row],[Rating]]+tblProducts[[#This Row],[Review]]/1000000+ROW()/100000000)</f>
        <v/>
      </c>
      <c r="K112" s="30" t="str">
        <f>IF(tblProducts[[#This Row],[Review]]="","",tblProducts[[#This Row],[Review]]+tblProducts[[#This Row],[Rating]]/1000)</f>
        <v/>
      </c>
      <c r="L112" s="31">
        <f>IF(tblProducts[[#This Row],[Discount]]="","",tblProducts[[#This Row],[Discount]]+tblProducts[[#This Row],[Review]]/1000000)</f>
        <v>0.02</v>
      </c>
    </row>
    <row r="113" spans="1:12" x14ac:dyDescent="0.3">
      <c r="A113" s="29" t="s">
        <v>314</v>
      </c>
      <c r="B113" s="43">
        <v>1768</v>
      </c>
      <c r="C113" s="43">
        <v>1799</v>
      </c>
      <c r="D113" s="44">
        <v>0.02</v>
      </c>
      <c r="E113" s="45"/>
      <c r="F113" s="30" t="s">
        <v>371</v>
      </c>
      <c r="G113" s="30" t="str">
        <f>IF(tblProducts[[#This Row],[Rating]]="","Missing",IF(tblProducts[[#This Row],[Rating]]&lt;3,"Poor",IF(tblProducts[[#This Row],[Rating]]&lt;=4.5,"Average","Excellent")))</f>
        <v>Missing</v>
      </c>
      <c r="H113" s="30" t="str">
        <f>IF(tblProducts[[#This Row],[Discount]]="","Missing",IF(tblProducts[[#This Row],[Discount]]&lt;20%,"Low Discount",IF(tblProducts[[#This Row],[Discount]]&lt;=40%,"Medium Discount","High Discount")))</f>
        <v>Low Discount</v>
      </c>
      <c r="I113" s="43">
        <f>tblProducts[[#This Row],[old price (Ksh)]]-tblProducts[[#This Row],[Current price (Ksh)]]</f>
        <v>31</v>
      </c>
      <c r="J113" s="30" t="str">
        <f>IF(tblProducts[[#This Row],[Rating]]="","",tblProducts[[#This Row],[Rating]]+tblProducts[[#This Row],[Review]]/1000000+ROW()/100000000)</f>
        <v/>
      </c>
      <c r="K113" s="30" t="str">
        <f>IF(tblProducts[[#This Row],[Review]]="","",tblProducts[[#This Row],[Review]]+tblProducts[[#This Row],[Rating]]/1000)</f>
        <v/>
      </c>
      <c r="L113" s="31">
        <f>IF(tblProducts[[#This Row],[Discount]]="","",tblProducts[[#This Row],[Discount]]+tblProducts[[#This Row],[Review]]/1000000)</f>
        <v>0.02</v>
      </c>
    </row>
    <row r="114" spans="1:12" x14ac:dyDescent="0.3">
      <c r="A114" s="29" t="s">
        <v>316</v>
      </c>
      <c r="B114" s="43">
        <v>199</v>
      </c>
      <c r="C114" s="43">
        <v>553</v>
      </c>
      <c r="D114" s="44">
        <v>0.64</v>
      </c>
      <c r="E114" s="45"/>
      <c r="F114" s="30" t="s">
        <v>371</v>
      </c>
      <c r="G114" s="30" t="str">
        <f>IF(tblProducts[[#This Row],[Rating]]="","Missing",IF(tblProducts[[#This Row],[Rating]]&lt;3,"Poor",IF(tblProducts[[#This Row],[Rating]]&lt;=4.5,"Average","Excellent")))</f>
        <v>Missing</v>
      </c>
      <c r="H114" s="30" t="str">
        <f>IF(tblProducts[[#This Row],[Discount]]="","Missing",IF(tblProducts[[#This Row],[Discount]]&lt;20%,"Low Discount",IF(tblProducts[[#This Row],[Discount]]&lt;=40%,"Medium Discount","High Discount")))</f>
        <v>High Discount</v>
      </c>
      <c r="I114" s="43">
        <f>tblProducts[[#This Row],[old price (Ksh)]]-tblProducts[[#This Row],[Current price (Ksh)]]</f>
        <v>354</v>
      </c>
      <c r="J114" s="30" t="str">
        <f>IF(tblProducts[[#This Row],[Rating]]="","",tblProducts[[#This Row],[Rating]]+tblProducts[[#This Row],[Review]]/1000000+ROW()/100000000)</f>
        <v/>
      </c>
      <c r="K114" s="30" t="str">
        <f>IF(tblProducts[[#This Row],[Review]]="","",tblProducts[[#This Row],[Review]]+tblProducts[[#This Row],[Rating]]/1000)</f>
        <v/>
      </c>
      <c r="L114" s="31">
        <f>IF(tblProducts[[#This Row],[Discount]]="","",tblProducts[[#This Row],[Discount]]+tblProducts[[#This Row],[Review]]/1000000)</f>
        <v>0.64</v>
      </c>
    </row>
    <row r="115" spans="1:12" x14ac:dyDescent="0.3">
      <c r="A115" s="29" t="s">
        <v>355</v>
      </c>
      <c r="B115" s="43">
        <v>450</v>
      </c>
      <c r="C115" s="43">
        <v>900</v>
      </c>
      <c r="D115" s="44">
        <v>0.5</v>
      </c>
      <c r="E115" s="45">
        <v>1</v>
      </c>
      <c r="F115" s="30">
        <v>2</v>
      </c>
      <c r="G115" s="30" t="str">
        <f>IF(tblProducts[[#This Row],[Rating]]="","Missing",IF(tblProducts[[#This Row],[Rating]]&lt;3,"Poor",IF(tblProducts[[#This Row],[Rating]]&lt;=4.5,"Average","Excellent")))</f>
        <v>Poor</v>
      </c>
      <c r="H115" s="30" t="str">
        <f>IF(tblProducts[[#This Row],[Discount]]="","Missing",IF(tblProducts[[#This Row],[Discount]]&lt;20%,"Low Discount",IF(tblProducts[[#This Row],[Discount]]&lt;=40%,"Medium Discount","High Discount")))</f>
        <v>High Discount</v>
      </c>
      <c r="I115" s="43">
        <f>tblProducts[[#This Row],[old price (Ksh)]]-tblProducts[[#This Row],[Current price (Ksh)]]</f>
        <v>450</v>
      </c>
      <c r="J115" s="30">
        <f>IF(tblProducts[[#This Row],[Rating]]="","",tblProducts[[#This Row],[Rating]]+tblProducts[[#This Row],[Review]]/1000000+ROW()/100000000)</f>
        <v>2.0000021500000003</v>
      </c>
      <c r="K115" s="30">
        <f>IF(tblProducts[[#This Row],[Review]]="","",tblProducts[[#This Row],[Review]]+tblProducts[[#This Row],[Rating]]/1000)</f>
        <v>1.002</v>
      </c>
      <c r="L115" s="31">
        <f>IF(tblProducts[[#This Row],[Discount]]="","",tblProducts[[#This Row],[Discount]]+tblProducts[[#This Row],[Review]]/1000000)</f>
        <v>0.50000100000000003</v>
      </c>
    </row>
    <row r="116" spans="1:12" x14ac:dyDescent="0.3">
      <c r="A116" s="32" t="s">
        <v>320</v>
      </c>
      <c r="B116" s="46">
        <v>169</v>
      </c>
      <c r="C116" s="46">
        <v>320</v>
      </c>
      <c r="D116" s="47">
        <v>0.47</v>
      </c>
      <c r="E116" s="48"/>
      <c r="F116" s="33" t="s">
        <v>371</v>
      </c>
      <c r="G116" s="33" t="str">
        <f>IF(tblProducts[[#This Row],[Rating]]="","Missing",IF(tblProducts[[#This Row],[Rating]]&lt;3,"Poor",IF(tblProducts[[#This Row],[Rating]]&lt;=4.5,"Average","Excellent")))</f>
        <v>Missing</v>
      </c>
      <c r="H116" s="33" t="str">
        <f>IF(tblProducts[[#This Row],[Discount]]="","Missing",IF(tblProducts[[#This Row],[Discount]]&lt;20%,"Low Discount",IF(tblProducts[[#This Row],[Discount]]&lt;=40%,"Medium Discount","High Discount")))</f>
        <v>High Discount</v>
      </c>
      <c r="I116" s="46">
        <f>tblProducts[[#This Row],[old price (Ksh)]]-tblProducts[[#This Row],[Current price (Ksh)]]</f>
        <v>151</v>
      </c>
      <c r="J116" s="33" t="str">
        <f>IF(tblProducts[[#This Row],[Rating]]="","",tblProducts[[#This Row],[Rating]]+tblProducts[[#This Row],[Review]]/1000000+ROW()/100000000)</f>
        <v/>
      </c>
      <c r="K116" s="33" t="str">
        <f>IF(tblProducts[[#This Row],[Review]]="","",tblProducts[[#This Row],[Review]]+tblProducts[[#This Row],[Rating]]/1000)</f>
        <v/>
      </c>
      <c r="L116" s="34">
        <f>IF(tblProducts[[#This Row],[Discount]]="","",tblProducts[[#This Row],[Discount]]+tblProducts[[#This Row],[Review]]/1000000)</f>
        <v>0.47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48EBA-5178-4D04-AAA8-94F98FCE3F6A}">
  <dimension ref="A1:N77"/>
  <sheetViews>
    <sheetView topLeftCell="A14" workbookViewId="0">
      <selection activeCell="D9" sqref="D9"/>
    </sheetView>
  </sheetViews>
  <sheetFormatPr defaultRowHeight="15.05" x14ac:dyDescent="0.3"/>
  <cols>
    <col min="1" max="1" width="23.6640625" customWidth="1"/>
    <col min="2" max="2" width="44.33203125" customWidth="1"/>
    <col min="3" max="3" width="15.6640625" bestFit="1" customWidth="1"/>
    <col min="4" max="4" width="13.5546875" customWidth="1"/>
    <col min="5" max="5" width="15.21875" customWidth="1"/>
    <col min="9" max="9" width="50.77734375" style="25" customWidth="1"/>
    <col min="10" max="10" width="12.77734375" customWidth="1"/>
    <col min="11" max="11" width="17.5546875" customWidth="1"/>
    <col min="13" max="13" width="13.5546875" bestFit="1" customWidth="1"/>
  </cols>
  <sheetData>
    <row r="1" spans="1:14" ht="30.05" x14ac:dyDescent="0.3">
      <c r="A1" s="49" t="s">
        <v>380</v>
      </c>
      <c r="B1" s="28" t="s">
        <v>389</v>
      </c>
      <c r="I1" s="61" t="s">
        <v>480</v>
      </c>
      <c r="J1" s="60"/>
      <c r="K1" s="60"/>
      <c r="L1" s="60"/>
      <c r="M1" s="60"/>
      <c r="N1" s="60"/>
    </row>
    <row r="2" spans="1:14" x14ac:dyDescent="0.3">
      <c r="A2" s="29" t="s">
        <v>375</v>
      </c>
      <c r="B2" s="31">
        <f>ROWS(tblProducts[Product])</f>
        <v>115</v>
      </c>
      <c r="I2" s="66" t="s">
        <v>0</v>
      </c>
      <c r="J2" s="67" t="s">
        <v>3</v>
      </c>
      <c r="K2" s="67" t="s">
        <v>373</v>
      </c>
      <c r="L2" s="67" t="s">
        <v>370</v>
      </c>
      <c r="M2" s="67" t="s">
        <v>372</v>
      </c>
      <c r="N2" s="62"/>
    </row>
    <row r="3" spans="1:14" ht="15.05" customHeight="1" x14ac:dyDescent="0.3">
      <c r="A3" s="29" t="s">
        <v>376</v>
      </c>
      <c r="B3" s="31">
        <f>AVERAGE(tblProducts[Current price (Ksh)])</f>
        <v>1172.7913043478261</v>
      </c>
      <c r="I3" s="55" t="str" cm="1">
        <f t="array" ref="I3:I24">_xlfn._xlws.FILTER(tblProducts[Product],(tblProducts[Discount Category]="High Discount")*(tblProducts[Rating Category]&lt;&gt;"Excellent")*(tblProducts[Rating Category]&lt;&gt;"Missing"))</f>
        <v>Metal Decorative Hooks Key Hangers Entryway Wall Hooks Towel Hooks - Home</v>
      </c>
      <c r="J3" s="30" cm="1">
        <f t="array" ref="J3:J24">_xlfn._xlws.FILTER(tblProducts[Discount],(tblProducts[Discount Category]="High Discount")*(tblProducts[Rating Category]&lt;&gt;"Excellent")*(tblProducts[Rating Category]&lt;&gt;"Missing"))</f>
        <v>0.47</v>
      </c>
      <c r="K3" s="30" t="str" cm="1">
        <f t="array" ref="K3:K24">_xlfn._xlws.FILTER(tblProducts[Discount Category],(tblProducts[Discount Category]="High Discount")*(tblProducts[Rating Category]&lt;&gt;"Excellent")*(tblProducts[Rating Category]&lt;&gt;"Missing"))</f>
        <v>High Discount</v>
      </c>
      <c r="L3" s="30" cm="1">
        <f t="array" ref="L3:L24">_xlfn._xlws.FILTER(tblProducts[Rating],(tblProducts[Discount Category]="High Discount")*(tblProducts[Rating Category]&lt;&gt;"Excellent")*(tblProducts[Rating Category]&lt;&gt;"Missing"))</f>
        <v>4.0999999999999996</v>
      </c>
      <c r="M3" s="30" t="str" cm="1">
        <f t="array" ref="M3:M24">_xlfn._xlws.FILTER(tblProducts[Rating Category],(tblProducts[Discount Category]="High Discount")*(tblProducts[Rating Category]&lt;&gt;"Excellent")*(tblProducts[Rating Category]&lt;&gt;"Missing"))</f>
        <v>Average</v>
      </c>
    </row>
    <row r="4" spans="1:14" x14ac:dyDescent="0.3">
      <c r="A4" s="29" t="s">
        <v>377</v>
      </c>
      <c r="B4" s="31">
        <f>AVERAGE(tblProducts[Discount])</f>
        <v>0.36956521739130432</v>
      </c>
      <c r="I4" s="55" t="str">
        <v>13 In 1 Home Repair Tools Box Kit Set</v>
      </c>
      <c r="J4" s="30">
        <v>0.45</v>
      </c>
      <c r="K4" s="30" t="str">
        <v>High Discount</v>
      </c>
      <c r="L4" s="30">
        <v>3.8</v>
      </c>
      <c r="M4" s="30" t="str">
        <v>Average</v>
      </c>
    </row>
    <row r="5" spans="1:14" x14ac:dyDescent="0.3">
      <c r="A5" s="29" t="s">
        <v>378</v>
      </c>
      <c r="B5" s="31">
        <f>AVERAGE(tblProducts[Rating])</f>
        <v>3.8894736842105258</v>
      </c>
      <c r="I5" s="55" t="str">
        <v>Lasa Digital Thermometer And Hydrometer</v>
      </c>
      <c r="J5" s="30">
        <v>0.42</v>
      </c>
      <c r="K5" s="30" t="str">
        <v>High Discount</v>
      </c>
      <c r="L5" s="30">
        <v>4.5</v>
      </c>
      <c r="M5" s="30" t="str">
        <v>Average</v>
      </c>
    </row>
    <row r="6" spans="1:14" x14ac:dyDescent="0.3">
      <c r="A6" s="29" t="s">
        <v>379</v>
      </c>
      <c r="B6" s="69">
        <f>SUM(tblProducts[Review])</f>
        <v>723</v>
      </c>
      <c r="I6" s="55" t="str">
        <v>3Pcs Single Head Knitting Crochet Sweater Needle Set</v>
      </c>
      <c r="J6" s="30">
        <v>0.53</v>
      </c>
      <c r="K6" s="30" t="str">
        <v>High Discount</v>
      </c>
      <c r="L6" s="30">
        <v>3.3</v>
      </c>
      <c r="M6" s="30" t="str">
        <v>Average</v>
      </c>
    </row>
    <row r="7" spans="1:14" ht="30.05" x14ac:dyDescent="0.3">
      <c r="A7" s="70" t="s">
        <v>480</v>
      </c>
      <c r="B7" s="50">
        <f>COUNTIFS(tblProducts[Discount Category],"High Discount",tblProducts[Rating Category],"&lt;&gt;Excellent",tblProducts[Rating Category],"&lt;&gt;Missing")</f>
        <v>22</v>
      </c>
      <c r="I7" s="55" t="str">
        <v>Lasa 3 Tier Bamboo Shoe Bench Storage Shelf</v>
      </c>
      <c r="J7" s="30">
        <v>0.54</v>
      </c>
      <c r="K7" s="30" t="str">
        <v>High Discount</v>
      </c>
      <c r="L7" s="30">
        <v>4.3</v>
      </c>
      <c r="M7" s="30" t="str">
        <v>Average</v>
      </c>
    </row>
    <row r="8" spans="1:14" x14ac:dyDescent="0.3">
      <c r="A8" s="64"/>
      <c r="B8" s="68"/>
      <c r="I8" s="55" t="str">
        <v>Exfoliate And Exfoliate Face Towel - Black</v>
      </c>
      <c r="J8" s="30">
        <v>0.52</v>
      </c>
      <c r="K8" s="30" t="str">
        <v>High Discount</v>
      </c>
      <c r="L8" s="30">
        <v>4.3</v>
      </c>
      <c r="M8" s="30" t="str">
        <v>Average</v>
      </c>
    </row>
    <row r="9" spans="1:14" x14ac:dyDescent="0.3">
      <c r="I9" s="55" t="str">
        <v>LED Eye Protection Desk Lamp , Study, Reading, USB Fan - Double Pen Holder</v>
      </c>
      <c r="J9" s="30">
        <v>0.48</v>
      </c>
      <c r="K9" s="30" t="str">
        <v>High Discount</v>
      </c>
      <c r="L9" s="30">
        <v>4.3</v>
      </c>
      <c r="M9" s="30" t="str">
        <v>Average</v>
      </c>
    </row>
    <row r="10" spans="1:14" x14ac:dyDescent="0.3">
      <c r="A10" s="51" t="s">
        <v>381</v>
      </c>
      <c r="B10" s="28" t="s">
        <v>389</v>
      </c>
      <c r="I10" s="55" t="str">
        <v>Punch-Free Great Load Bearing Bathroom Storage Rack Wall Shelf-White</v>
      </c>
      <c r="J10" s="30">
        <v>0.41</v>
      </c>
      <c r="K10" s="30" t="str">
        <v>High Discount</v>
      </c>
      <c r="L10" s="30">
        <v>4.3</v>
      </c>
      <c r="M10" s="30" t="str">
        <v>Average</v>
      </c>
    </row>
    <row r="11" spans="1:14" x14ac:dyDescent="0.3">
      <c r="A11" s="29" t="s">
        <v>382</v>
      </c>
      <c r="B11" s="31">
        <f>CORREL(tblProducts[Discount],tblProducts[Review])</f>
        <v>-0.13682272428088296</v>
      </c>
      <c r="I11" s="55" t="str">
        <v>Mythco 120Cob Solar Wall Ligt With Motion Sensor And Remote Control 3 Modes</v>
      </c>
      <c r="J11" s="30">
        <v>0.54</v>
      </c>
      <c r="K11" s="30" t="str">
        <v>High Discount</v>
      </c>
      <c r="L11" s="30">
        <v>3</v>
      </c>
      <c r="M11" s="30" t="str">
        <v>Average</v>
      </c>
    </row>
    <row r="12" spans="1:14" x14ac:dyDescent="0.3">
      <c r="A12" s="29" t="s">
        <v>383</v>
      </c>
      <c r="B12" s="31">
        <f>CORREL(tblProducts[Rating],tblProducts[Review])</f>
        <v>5.7209035119876482E-2</v>
      </c>
      <c r="I12" s="55" t="str">
        <v>5-Pcs Stainless Steel Cooking Pot Set With Steamed Slices</v>
      </c>
      <c r="J12" s="30">
        <v>0.55000000000000004</v>
      </c>
      <c r="K12" s="30" t="str">
        <v>High Discount</v>
      </c>
      <c r="L12" s="30">
        <v>2.1</v>
      </c>
      <c r="M12" s="30" t="str">
        <v>Poor</v>
      </c>
    </row>
    <row r="13" spans="1:14" x14ac:dyDescent="0.3">
      <c r="A13" s="32" t="s">
        <v>384</v>
      </c>
      <c r="B13" s="34">
        <f>CORREL(tblProducts[Current price (Ksh)],tblProducts[Rating])</f>
        <v>0.10797680009158267</v>
      </c>
      <c r="I13" s="55" t="str">
        <v>120W Cordless Vacuum Cleaners Handheld Electric Vacuum Cleaner</v>
      </c>
      <c r="J13" s="30">
        <v>0.49</v>
      </c>
      <c r="K13" s="30" t="str">
        <v>High Discount</v>
      </c>
      <c r="L13" s="30">
        <v>2.8</v>
      </c>
      <c r="M13" s="30" t="str">
        <v>Poor</v>
      </c>
    </row>
    <row r="14" spans="1:14" x14ac:dyDescent="0.3">
      <c r="I14" s="55" t="str">
        <v>Intelligent LED Body Sensor Wireless Lighting Night Light USB</v>
      </c>
      <c r="J14" s="30">
        <v>0.52</v>
      </c>
      <c r="K14" s="30" t="str">
        <v>High Discount</v>
      </c>
      <c r="L14" s="30">
        <v>2.7</v>
      </c>
      <c r="M14" s="30" t="str">
        <v>Poor</v>
      </c>
    </row>
    <row r="15" spans="1:14" x14ac:dyDescent="0.3">
      <c r="A15" s="5" t="s">
        <v>385</v>
      </c>
      <c r="I15" s="55" t="str">
        <v>Artificial Potted Flowers Room Decorative Flowers (2 Pieces)</v>
      </c>
      <c r="J15" s="30">
        <v>0.45</v>
      </c>
      <c r="K15" s="30" t="str">
        <v>High Discount</v>
      </c>
      <c r="L15" s="30">
        <v>2.2000000000000002</v>
      </c>
      <c r="M15" s="30" t="str">
        <v>Poor</v>
      </c>
    </row>
    <row r="16" spans="1:14" x14ac:dyDescent="0.3">
      <c r="A16" s="51" t="s">
        <v>386</v>
      </c>
      <c r="B16" s="52" t="s">
        <v>0</v>
      </c>
      <c r="C16" s="52" t="s">
        <v>370</v>
      </c>
      <c r="D16" s="53" t="s">
        <v>388</v>
      </c>
      <c r="I16" s="55" t="str">
        <v>380Ml USB Rechargeable Portable Small Blenders And Juicers</v>
      </c>
      <c r="J16" s="30">
        <v>0.5</v>
      </c>
      <c r="K16" s="30" t="str">
        <v>High Discount</v>
      </c>
      <c r="L16" s="30">
        <v>2.2999999999999998</v>
      </c>
      <c r="M16" s="30" t="str">
        <v>Poor</v>
      </c>
    </row>
    <row r="17" spans="1:13" x14ac:dyDescent="0.3">
      <c r="A17" s="29">
        <v>1</v>
      </c>
      <c r="B17" s="55" t="str">
        <f>INDEX(tblProducts[Product],MATCH(C17,tblProducts[Rating Rank Key],0))</f>
        <v>Lasa Aluminum Folding Truck Hand Cart - 68Kg Max</v>
      </c>
      <c r="C17" s="30">
        <f>LARGE(tblProducts[Rating Rank Key],A17)</f>
        <v>5.0000031900000002</v>
      </c>
      <c r="D17" s="31">
        <f>INDEX(tblProducts[Rating],MATCH(C17,tblProducts[Rating Rank Key],0))</f>
        <v>5</v>
      </c>
      <c r="I17" s="55" t="str">
        <v>Agapeon Toothbrush Holder And Toothpaste Dispenser</v>
      </c>
      <c r="J17" s="30">
        <v>0.45</v>
      </c>
      <c r="K17" s="30" t="str">
        <v>High Discount</v>
      </c>
      <c r="L17" s="30">
        <v>2.6</v>
      </c>
      <c r="M17" s="30" t="str">
        <v>Poor</v>
      </c>
    </row>
    <row r="18" spans="1:13" ht="30.05" x14ac:dyDescent="0.3">
      <c r="A18" s="29">
        <v>2</v>
      </c>
      <c r="B18" s="55" t="str">
        <f>INDEX(tblProducts[Product],MATCH(C18,tblProducts[Rating Rank Key],0))</f>
        <v>Classic Black Cat Cotton Hemp Pillow Case For Home Car</v>
      </c>
      <c r="C18" s="30">
        <f>LARGE(tblProducts[Rating Rank Key],A18)</f>
        <v>5.0000023800000006</v>
      </c>
      <c r="D18" s="31">
        <f>INDEX(tblProducts[Rating],MATCH(C18,tblProducts[Rating Rank Key],0))</f>
        <v>5</v>
      </c>
      <c r="I18" s="55" t="str">
        <v>Watercolour Gold Foil Textured Print Pillow Cover</v>
      </c>
      <c r="J18" s="30">
        <v>0.43</v>
      </c>
      <c r="K18" s="30" t="str">
        <v>High Discount</v>
      </c>
      <c r="L18" s="30">
        <v>2.2999999999999998</v>
      </c>
      <c r="M18" s="30" t="str">
        <v>Poor</v>
      </c>
    </row>
    <row r="19" spans="1:13" x14ac:dyDescent="0.3">
      <c r="A19" s="29">
        <v>3</v>
      </c>
      <c r="B19" s="55" t="str">
        <f>INDEX(tblProducts[Product],MATCH(C19,tblProducts[Rating Rank Key],0))</f>
        <v>Peacock Throw Pillow Cushion Case For Home Car</v>
      </c>
      <c r="C19" s="30">
        <f>LARGE(tblProducts[Rating Rank Key],A19)</f>
        <v>5.0000021800000001</v>
      </c>
      <c r="D19" s="31">
        <f>INDEX(tblProducts[Rating],MATCH(C19,tblProducts[Rating Rank Key],0))</f>
        <v>5</v>
      </c>
      <c r="I19" s="55" t="str">
        <v>Wrought Iron Bathroom Shelf Wall Mounted Free Punch Toilet Rack</v>
      </c>
      <c r="J19" s="30">
        <v>0.43</v>
      </c>
      <c r="K19" s="30" t="str">
        <v>High Discount</v>
      </c>
      <c r="L19" s="30">
        <v>3</v>
      </c>
      <c r="M19" s="30" t="str">
        <v>Average</v>
      </c>
    </row>
    <row r="20" spans="1:13" ht="30.05" x14ac:dyDescent="0.3">
      <c r="A20" s="29">
        <v>4</v>
      </c>
      <c r="B20" s="55" t="str">
        <f>INDEX(tblProducts[Product],MATCH(C20,tblProducts[Rating Rank Key],0))</f>
        <v>Anti-Skid Absorbent Insulation Coaster For Home Office</v>
      </c>
      <c r="C20" s="30">
        <f>LARGE(tblProducts[Rating Rank Key],A20)</f>
        <v>5.0000021700000001</v>
      </c>
      <c r="D20" s="31">
        <f>INDEX(tblProducts[Rating],MATCH(C20,tblProducts[Rating Rank Key],0))</f>
        <v>5</v>
      </c>
      <c r="I20" s="55" t="str">
        <v>7-Piece Set Of Storage Bags, Travel Storage Bags, Shoe Bags</v>
      </c>
      <c r="J20" s="30">
        <v>0.47</v>
      </c>
      <c r="K20" s="30" t="str">
        <v>High Discount</v>
      </c>
      <c r="L20" s="30">
        <v>2.2000000000000002</v>
      </c>
      <c r="M20" s="30" t="str">
        <v>Poor</v>
      </c>
    </row>
    <row r="21" spans="1:13" ht="30.05" x14ac:dyDescent="0.3">
      <c r="A21" s="29">
        <v>5</v>
      </c>
      <c r="B21" s="55" t="str">
        <f>INDEX(tblProducts[Product],MATCH(C21,tblProducts[Rating Rank Key],0))</f>
        <v>Konka Healty Electric Kettle, 24-Hour Heat Preservation,1.5L,800W, White</v>
      </c>
      <c r="C21" s="30">
        <f>LARGE(tblProducts[Rating Rank Key],A21)</f>
        <v>5.0000020599999999</v>
      </c>
      <c r="D21" s="31">
        <f>INDEX(tblProducts[Rating],MATCH(C21,tblProducts[Rating Rank Key],0))</f>
        <v>5</v>
      </c>
      <c r="I21" s="55" t="str">
        <v>Electric LED UV Mosquito Killer Lamp, Outdoor/Indoor Fly Killer Trap Light -USB</v>
      </c>
      <c r="J21" s="30">
        <v>0.47</v>
      </c>
      <c r="K21" s="30" t="str">
        <v>High Discount</v>
      </c>
      <c r="L21" s="30">
        <v>2.1</v>
      </c>
      <c r="M21" s="30" t="str">
        <v>Poor</v>
      </c>
    </row>
    <row r="22" spans="1:13" ht="30.05" x14ac:dyDescent="0.3">
      <c r="A22" s="29">
        <v>6</v>
      </c>
      <c r="B22" s="55" t="str">
        <f>INDEX(tblProducts[Product],MATCH(C22,tblProducts[Rating Rank Key],0))</f>
        <v>Bedroom Simple Floor Hanging Clothes Rack Single Pole Hat Rack - White</v>
      </c>
      <c r="C22" s="30">
        <f>LARGE(tblProducts[Rating Rank Key],A22)</f>
        <v>5.0000018200000005</v>
      </c>
      <c r="D22" s="31">
        <f>INDEX(tblProducts[Rating],MATCH(C22,tblProducts[Rating Rank Key],0))</f>
        <v>5</v>
      </c>
      <c r="I22" s="55" t="str">
        <v>Memory Foam Neck Pillow Cover, With Pillow Core - 50*30Cm</v>
      </c>
      <c r="J22" s="30">
        <v>0.46</v>
      </c>
      <c r="K22" s="30" t="str">
        <v>High Discount</v>
      </c>
      <c r="L22" s="30">
        <v>3</v>
      </c>
      <c r="M22" s="30" t="str">
        <v>Average</v>
      </c>
    </row>
    <row r="23" spans="1:13" ht="30.05" x14ac:dyDescent="0.3">
      <c r="A23" s="29">
        <v>7</v>
      </c>
      <c r="B23" s="55" t="str">
        <f>INDEX(tblProducts[Product],MATCH(C23,tblProducts[Rating Rank Key],0))</f>
        <v>DIY File Folder, Office Drawer File Holder, Pen Holder, Desktop Storage Rack</v>
      </c>
      <c r="C23" s="30">
        <f>LARGE(tblProducts[Rating Rank Key],A23)</f>
        <v>5.0000013700000006</v>
      </c>
      <c r="D23" s="31">
        <f>INDEX(tblProducts[Rating],MATCH(C23,tblProducts[Rating Rank Key],0))</f>
        <v>5</v>
      </c>
      <c r="I23" s="55" t="str">
        <v>Household Pineapple Peeler Peeler</v>
      </c>
      <c r="J23" s="30">
        <v>0.49</v>
      </c>
      <c r="K23" s="30" t="str">
        <v>High Discount</v>
      </c>
      <c r="L23" s="30">
        <v>4</v>
      </c>
      <c r="M23" s="30" t="str">
        <v>Average</v>
      </c>
    </row>
    <row r="24" spans="1:13" x14ac:dyDescent="0.3">
      <c r="A24" s="29">
        <v>8</v>
      </c>
      <c r="B24" s="55" t="str">
        <f>INDEX(tblProducts[Product],MATCH(C24,tblProducts[Rating Rank Key],0))</f>
        <v>40Cm Gold DIY Acrylic Wall Sticker Clock</v>
      </c>
      <c r="C24" s="30">
        <f>LARGE(tblProducts[Rating Rank Key],A24)</f>
        <v>4.8000121399999998</v>
      </c>
      <c r="D24" s="31">
        <f>INDEX(tblProducts[Rating],MATCH(C24,tblProducts[Rating Rank Key],0))</f>
        <v>4.8</v>
      </c>
      <c r="I24" s="55" t="str">
        <v>Wall-Mounted Sticker Punch-Free Plug Fixer</v>
      </c>
      <c r="J24" s="30">
        <v>0.5</v>
      </c>
      <c r="K24" s="30" t="str">
        <v>High Discount</v>
      </c>
      <c r="L24" s="30">
        <v>2</v>
      </c>
      <c r="M24" s="30" t="str">
        <v>Poor</v>
      </c>
    </row>
    <row r="25" spans="1:13" x14ac:dyDescent="0.3">
      <c r="A25" s="29">
        <v>9</v>
      </c>
      <c r="B25" s="55" t="str">
        <f>INDEX(tblProducts[Product],MATCH(C25,tblProducts[Rating Rank Key],0))</f>
        <v>Lasa Folding Table Serving Stand</v>
      </c>
      <c r="C25" s="30">
        <f>LARGE(tblProducts[Rating Rank Key],A25)</f>
        <v>4.8000050999999999</v>
      </c>
      <c r="D25" s="31">
        <f>INDEX(tblProducts[Rating],MATCH(C25,tblProducts[Rating Rank Key],0))</f>
        <v>4.8</v>
      </c>
      <c r="I25" s="63"/>
      <c r="J25" s="64"/>
      <c r="K25" s="64"/>
      <c r="L25" s="64"/>
      <c r="M25" s="64"/>
    </row>
    <row r="26" spans="1:13" ht="30.05" x14ac:dyDescent="0.3">
      <c r="A26" s="32">
        <v>10</v>
      </c>
      <c r="B26" s="56" t="str">
        <f>INDEX(tblProducts[Product],MATCH(C26,tblProducts[Rating Rank Key],0))</f>
        <v>Portable Home Small Air Humidifier 3-Speed Fan - Green</v>
      </c>
      <c r="C26" s="33">
        <f>LARGE(tblProducts[Rating Rank Key],A26)</f>
        <v>4.8000050599999993</v>
      </c>
      <c r="D26" s="34">
        <f>INDEX(tblProducts[Rating],MATCH(C26,tblProducts[Rating Rank Key],0))</f>
        <v>4.8</v>
      </c>
      <c r="I26" s="63"/>
      <c r="J26" s="64"/>
      <c r="K26" s="64"/>
      <c r="L26" s="64"/>
      <c r="M26" s="64"/>
    </row>
    <row r="28" spans="1:13" x14ac:dyDescent="0.3">
      <c r="A28" s="5"/>
    </row>
    <row r="29" spans="1:13" x14ac:dyDescent="0.3">
      <c r="A29" s="5" t="s">
        <v>390</v>
      </c>
    </row>
    <row r="30" spans="1:13" x14ac:dyDescent="0.3">
      <c r="A30" s="26" t="s">
        <v>386</v>
      </c>
      <c r="B30" s="27" t="s">
        <v>0</v>
      </c>
      <c r="C30" s="27" t="s">
        <v>394</v>
      </c>
      <c r="D30" s="28" t="s">
        <v>391</v>
      </c>
    </row>
    <row r="31" spans="1:13" x14ac:dyDescent="0.3">
      <c r="A31" s="29">
        <v>1</v>
      </c>
      <c r="B31" s="30" t="str">
        <f>INDEX(tblProducts[Product],MATCH(C31,tblProducts[Review Rank Key],0))</f>
        <v>120W Cordless Vacuum Cleaners Handheld Electric Vacuum Cleaner</v>
      </c>
      <c r="C31" s="30">
        <f>LARGE(tblProducts[Review Rank Key],A31)</f>
        <v>69.002799999999993</v>
      </c>
      <c r="D31" s="31">
        <f>INDEX(tblProducts[Review],MATCH(C31,tblProducts[Review Rank Key],0))</f>
        <v>69</v>
      </c>
    </row>
    <row r="32" spans="1:13" x14ac:dyDescent="0.3">
      <c r="A32" s="29">
        <v>2</v>
      </c>
      <c r="B32" s="30" t="str">
        <f>INDEX(tblProducts[Product],MATCH(C32,tblProducts[Review Rank Key],0))</f>
        <v>137 Pieces Cake Decorating Tool Set Baking Supplies</v>
      </c>
      <c r="C32" s="30">
        <f>LARGE(tblProducts[Review Rank Key],A32)</f>
        <v>55.004600000000003</v>
      </c>
      <c r="D32" s="31">
        <f>INDEX(tblProducts[Review],MATCH(C32,tblProducts[Review Rank Key],0))</f>
        <v>55</v>
      </c>
    </row>
    <row r="33" spans="1:4" x14ac:dyDescent="0.3">
      <c r="A33" s="29">
        <v>3</v>
      </c>
      <c r="B33" s="30" t="str">
        <f>INDEX(tblProducts[Product],MATCH(C33,tblProducts[Review Rank Key],0))</f>
        <v>Electronic Digital Display Vernier Caliper</v>
      </c>
      <c r="C33" s="30">
        <f>LARGE(tblProducts[Review Rank Key],A33)</f>
        <v>49.004600000000003</v>
      </c>
      <c r="D33" s="31">
        <f>INDEX(tblProducts[Review],MATCH(C33,tblProducts[Review Rank Key],0))</f>
        <v>49</v>
      </c>
    </row>
    <row r="34" spans="1:4" x14ac:dyDescent="0.3">
      <c r="A34" s="29">
        <v>4</v>
      </c>
      <c r="B34" s="30" t="str">
        <f>INDEX(tblProducts[Product],MATCH(C34,tblProducts[Review Rank Key],0))</f>
        <v>3D Waterproof EVA Plastic Shower Curtain 1.8*2Mtrs</v>
      </c>
      <c r="C34" s="30">
        <f>LARGE(tblProducts[Review Rank Key],A34)</f>
        <v>44.004600000000003</v>
      </c>
      <c r="D34" s="31">
        <f>INDEX(tblProducts[Review],MATCH(C34,tblProducts[Review Rank Key],0))</f>
        <v>44</v>
      </c>
    </row>
    <row r="35" spans="1:4" x14ac:dyDescent="0.3">
      <c r="A35" s="29">
        <v>5</v>
      </c>
      <c r="B35" s="30" t="str">
        <f>INDEX(tblProducts[Product],MATCH(C35,tblProducts[Review Rank Key],0))</f>
        <v>100 Pcs Crochet Hook Tool Set Knitting Hook Set With Box</v>
      </c>
      <c r="C35" s="30">
        <f>LARGE(tblProducts[Review Rank Key],A35)</f>
        <v>39.0047</v>
      </c>
      <c r="D35" s="31">
        <f>INDEX(tblProducts[Review],MATCH(C35,tblProducts[Review Rank Key],0))</f>
        <v>39</v>
      </c>
    </row>
    <row r="36" spans="1:4" x14ac:dyDescent="0.3">
      <c r="A36" s="29">
        <v>6</v>
      </c>
      <c r="B36" s="30" t="str">
        <f>INDEX(tblProducts[Product],MATCH(C36,tblProducts[Review Rank Key],0))</f>
        <v>Punch-Free Great Load Bearing Bathroom Storage Rack Wall Shelf-White</v>
      </c>
      <c r="C36" s="30">
        <f>LARGE(tblProducts[Review Rank Key],A36)</f>
        <v>36.004300000000001</v>
      </c>
      <c r="D36" s="31">
        <f>INDEX(tblProducts[Review],MATCH(C36,tblProducts[Review Rank Key],0))</f>
        <v>36</v>
      </c>
    </row>
    <row r="37" spans="1:4" x14ac:dyDescent="0.3">
      <c r="A37" s="29">
        <v>7</v>
      </c>
      <c r="B37" s="30" t="str">
        <f>INDEX(tblProducts[Product],MATCH(C37,tblProducts[Review Rank Key],0))</f>
        <v>53 Pieces/Set Yarn Knitting Crochet Hooks With Bag - Pansies</v>
      </c>
      <c r="C37" s="30">
        <f>LARGE(tblProducts[Review Rank Key],A37)</f>
        <v>32.0045</v>
      </c>
      <c r="D37" s="31">
        <f>INDEX(tblProducts[Review],MATCH(C37,tblProducts[Review Rank Key],0))</f>
        <v>32</v>
      </c>
    </row>
    <row r="38" spans="1:4" x14ac:dyDescent="0.3">
      <c r="A38" s="29">
        <v>8</v>
      </c>
      <c r="B38" s="30" t="str">
        <f>INDEX(tblProducts[Product],MATCH(C38,tblProducts[Review Rank Key],0))</f>
        <v>Portable Mini Cordless Car Vacuum Cleaner - Blue</v>
      </c>
      <c r="C38" s="30">
        <f>LARGE(tblProducts[Review Rank Key],A38)</f>
        <v>24.0046</v>
      </c>
      <c r="D38" s="31">
        <f>INDEX(tblProducts[Review],MATCH(C38,tblProducts[Review Rank Key],0))</f>
        <v>24</v>
      </c>
    </row>
    <row r="39" spans="1:4" x14ac:dyDescent="0.3">
      <c r="A39" s="29">
        <v>9</v>
      </c>
      <c r="B39" s="30" t="str">
        <f>INDEX(tblProducts[Product],MATCH(C39,tblProducts[Review Rank Key],0))</f>
        <v>53Pcs/Set Yarn Knitting Crochet Hooks With Bag - Fortune Cat</v>
      </c>
      <c r="C39" s="30">
        <f>LARGE(tblProducts[Review Rank Key],A39)</f>
        <v>20.0047</v>
      </c>
      <c r="D39" s="31">
        <f>INDEX(tblProducts[Review],MATCH(C39,tblProducts[Review Rank Key],0))</f>
        <v>20</v>
      </c>
    </row>
    <row r="40" spans="1:4" x14ac:dyDescent="0.3">
      <c r="A40" s="32">
        <v>10</v>
      </c>
      <c r="B40" s="33" t="str">
        <f>INDEX(tblProducts[Product],MATCH(C40,tblProducts[Review Rank Key],0))</f>
        <v>52 Pieces Cake Decorating Tool Set Gift Kit Baking Supplies</v>
      </c>
      <c r="C40" s="33">
        <f>LARGE(tblProducts[Review Rank Key],A40)</f>
        <v>20.004100000000001</v>
      </c>
      <c r="D40" s="34">
        <f>INDEX(tblProducts[Review],MATCH(C40,tblProducts[Review Rank Key],0))</f>
        <v>20</v>
      </c>
    </row>
    <row r="43" spans="1:4" x14ac:dyDescent="0.3">
      <c r="A43" s="5" t="s">
        <v>395</v>
      </c>
    </row>
    <row r="44" spans="1:4" x14ac:dyDescent="0.3">
      <c r="A44" s="26" t="s">
        <v>386</v>
      </c>
      <c r="B44" s="27" t="s">
        <v>0</v>
      </c>
      <c r="C44" s="27" t="s">
        <v>394</v>
      </c>
      <c r="D44" s="28" t="s">
        <v>396</v>
      </c>
    </row>
    <row r="45" spans="1:4" x14ac:dyDescent="0.3">
      <c r="A45" s="29">
        <v>1</v>
      </c>
      <c r="B45" s="55" t="str">
        <f>INDEX(tblProducts[Product],MATCH(C45,tblProducts[Discount Rank Key],0))</f>
        <v>6 In 1 Bottle Can Opener Multifunctional Easy Opener</v>
      </c>
      <c r="C45" s="30">
        <f>LARGE(tblProducts[Discount Rank Key],A45)</f>
        <v>0.64</v>
      </c>
      <c r="D45" s="31">
        <f>INDEX(tblProducts[Discount],MATCH(C45,tblProducts[Discount Rank Key],0))</f>
        <v>0.64</v>
      </c>
    </row>
    <row r="46" spans="1:4" x14ac:dyDescent="0.3">
      <c r="A46" s="29">
        <v>2</v>
      </c>
      <c r="B46" s="55" t="str">
        <f>INDEX(tblProducts[Product],MATCH(C46,tblProducts[Discount Rank Key],0))</f>
        <v>Creative Owl Shape Keychain Black</v>
      </c>
      <c r="C46" s="30">
        <f>LARGE(tblProducts[Discount Rank Key],A46)</f>
        <v>0.61</v>
      </c>
      <c r="D46" s="31">
        <f>INDEX(tblProducts[Discount],MATCH(C46,tblProducts[Discount Rank Key],0))</f>
        <v>0.61</v>
      </c>
    </row>
    <row r="47" spans="1:4" ht="30.05" x14ac:dyDescent="0.3">
      <c r="A47" s="29">
        <v>3</v>
      </c>
      <c r="B47" s="55" t="str">
        <f>INDEX(tblProducts[Product],MATCH(C47,tblProducts[Discount Rank Key],0))</f>
        <v>5-Pcs Stainless Steel Cooking Pot Set With Steamed Slices</v>
      </c>
      <c r="C47" s="30">
        <f>LARGE(tblProducts[Discount Rank Key],A47)</f>
        <v>0.55001300000000009</v>
      </c>
      <c r="D47" s="31">
        <f>INDEX(tblProducts[Discount],MATCH(C47,tblProducts[Discount Rank Key],0))</f>
        <v>0.55000000000000004</v>
      </c>
    </row>
    <row r="48" spans="1:4" x14ac:dyDescent="0.3">
      <c r="A48" s="29">
        <v>4</v>
      </c>
      <c r="B48" s="55" t="str">
        <f>INDEX(tblProducts[Product],MATCH(C48,tblProducts[Discount Rank Key],0))</f>
        <v>Lasa Folding Table Serving Stand</v>
      </c>
      <c r="C48" s="30">
        <f>LARGE(tblProducts[Discount Rank Key],A48)</f>
        <v>0.55000500000000008</v>
      </c>
      <c r="D48" s="31">
        <f>INDEX(tblProducts[Discount],MATCH(C48,tblProducts[Discount Rank Key],0))</f>
        <v>0.55000000000000004</v>
      </c>
    </row>
    <row r="49" spans="1:5" ht="30.05" x14ac:dyDescent="0.3">
      <c r="A49" s="29">
        <v>5</v>
      </c>
      <c r="B49" s="55" t="str">
        <f>INDEX(tblProducts[Product],MATCH(C49,tblProducts[Discount Rank Key],0))</f>
        <v>Simple Metal Dog Art Sculpture Decoration For Home Office</v>
      </c>
      <c r="C49" s="30">
        <f>LARGE(tblProducts[Discount Rank Key],A49)</f>
        <v>0.55000000000000004</v>
      </c>
      <c r="D49" s="31">
        <f>INDEX(tblProducts[Discount],MATCH(C49,tblProducts[Discount Rank Key],0))</f>
        <v>0.55000000000000004</v>
      </c>
    </row>
    <row r="50" spans="1:5" ht="30.05" x14ac:dyDescent="0.3">
      <c r="A50" s="29">
        <v>6</v>
      </c>
      <c r="B50" s="55" t="str">
        <f>INDEX(tblProducts[Product],MATCH(C50,tblProducts[Discount Rank Key],0))</f>
        <v>Mythco 120Cob Solar Wall Ligt With Motion Sensor And Remote Control 3 Modes</v>
      </c>
      <c r="C50" s="30">
        <f>LARGE(tblProducts[Discount Rank Key],A50)</f>
        <v>0.54000999999999999</v>
      </c>
      <c r="D50" s="31">
        <f>INDEX(tblProducts[Discount],MATCH(C50,tblProducts[Discount Rank Key],0))</f>
        <v>0.54</v>
      </c>
    </row>
    <row r="51" spans="1:5" x14ac:dyDescent="0.3">
      <c r="A51" s="29">
        <v>7</v>
      </c>
      <c r="B51" s="55" t="str">
        <f>INDEX(tblProducts[Product],MATCH(C51,tblProducts[Discount Rank Key],0))</f>
        <v>Lasa 3 Tier Bamboo Shoe Bench Storage Shelf</v>
      </c>
      <c r="C51" s="30">
        <f>LARGE(tblProducts[Discount Rank Key],A51)</f>
        <v>0.54000700000000001</v>
      </c>
      <c r="D51" s="31">
        <f>INDEX(tblProducts[Discount],MATCH(C51,tblProducts[Discount Rank Key],0))</f>
        <v>0.54</v>
      </c>
    </row>
    <row r="52" spans="1:5" ht="30.05" x14ac:dyDescent="0.3">
      <c r="A52" s="29">
        <v>8</v>
      </c>
      <c r="B52" s="55" t="str">
        <f>INDEX(tblProducts[Product],MATCH(C52,tblProducts[Discount Rank Key],0))</f>
        <v>3Pcs Single Head Knitting Crochet Sweater Needle Set</v>
      </c>
      <c r="C52" s="30">
        <f>LARGE(tblProducts[Discount Rank Key],A52)</f>
        <v>0.53001300000000007</v>
      </c>
      <c r="D52" s="31">
        <f>INDEX(tblProducts[Discount],MATCH(C52,tblProducts[Discount Rank Key],0))</f>
        <v>0.53</v>
      </c>
    </row>
    <row r="53" spans="1:5" ht="30.05" x14ac:dyDescent="0.3">
      <c r="A53" s="29">
        <v>9</v>
      </c>
      <c r="B53" s="55" t="str">
        <f>INDEX(tblProducts[Product],MATCH(C53,tblProducts[Discount Rank Key],0))</f>
        <v>Classic Black Cat Cotton Hemp Pillow Case For Home Car</v>
      </c>
      <c r="C53" s="30">
        <f>LARGE(tblProducts[Discount Rank Key],A53)</f>
        <v>0.53000199999999997</v>
      </c>
      <c r="D53" s="31">
        <f>INDEX(tblProducts[Discount],MATCH(C53,tblProducts[Discount Rank Key],0))</f>
        <v>0.53</v>
      </c>
    </row>
    <row r="54" spans="1:5" ht="30.05" x14ac:dyDescent="0.3">
      <c r="A54" s="32">
        <v>10</v>
      </c>
      <c r="B54" s="56" t="str">
        <f>INDEX(tblProducts[Product],MATCH(C54,tblProducts[Discount Rank Key],0))</f>
        <v>Intelligent LED Body Sensor Wireless Lighting Night Light USB</v>
      </c>
      <c r="C54" s="33">
        <f>LARGE(tblProducts[Discount Rank Key],A54)</f>
        <v>0.52001500000000001</v>
      </c>
      <c r="D54" s="34">
        <f>INDEX(tblProducts[Discount],MATCH(C54,tblProducts[Discount Rank Key],0))</f>
        <v>0.52</v>
      </c>
    </row>
    <row r="56" spans="1:5" x14ac:dyDescent="0.3">
      <c r="A56" s="63"/>
      <c r="B56" s="64"/>
      <c r="C56" s="64"/>
      <c r="D56" s="65"/>
      <c r="E56" s="64"/>
    </row>
    <row r="57" spans="1:5" ht="30.05" x14ac:dyDescent="0.3">
      <c r="A57" s="63"/>
      <c r="B57" s="64"/>
      <c r="C57" s="64"/>
      <c r="D57" s="64"/>
      <c r="E57" s="64"/>
    </row>
    <row r="58" spans="1:5" ht="30.05" x14ac:dyDescent="0.3">
      <c r="A58" s="63"/>
      <c r="B58" s="64"/>
      <c r="C58" s="64"/>
      <c r="D58" s="64"/>
      <c r="E58" s="64"/>
    </row>
    <row r="59" spans="1:5" ht="30.05" x14ac:dyDescent="0.3">
      <c r="A59" s="63"/>
      <c r="B59" s="64"/>
      <c r="C59" s="64"/>
      <c r="D59" s="64"/>
      <c r="E59" s="64"/>
    </row>
    <row r="60" spans="1:5" ht="30.05" x14ac:dyDescent="0.3">
      <c r="A60" s="63"/>
      <c r="B60" s="64"/>
      <c r="C60" s="64"/>
      <c r="D60" s="64"/>
      <c r="E60" s="64"/>
    </row>
    <row r="61" spans="1:5" ht="30.05" x14ac:dyDescent="0.3">
      <c r="A61" s="63"/>
      <c r="B61" s="64"/>
      <c r="C61" s="64"/>
      <c r="D61" s="64"/>
      <c r="E61" s="64"/>
    </row>
    <row r="62" spans="1:5" ht="45.1" x14ac:dyDescent="0.3">
      <c r="A62" s="63"/>
      <c r="B62" s="64"/>
      <c r="C62" s="64"/>
      <c r="D62" s="64"/>
      <c r="E62" s="64"/>
    </row>
    <row r="63" spans="1:5" ht="45.1" x14ac:dyDescent="0.3">
      <c r="A63" s="63"/>
      <c r="B63" s="64"/>
      <c r="C63" s="64"/>
      <c r="D63" s="64"/>
      <c r="E63" s="64"/>
    </row>
    <row r="64" spans="1:5" ht="45.1" x14ac:dyDescent="0.3">
      <c r="A64" s="63"/>
      <c r="B64" s="64"/>
      <c r="C64" s="64"/>
      <c r="D64" s="64"/>
      <c r="E64" s="64"/>
    </row>
    <row r="65" spans="1:5" ht="45.1" x14ac:dyDescent="0.3">
      <c r="A65" s="63"/>
      <c r="B65" s="64"/>
      <c r="C65" s="64"/>
      <c r="D65" s="64"/>
      <c r="E65" s="64"/>
    </row>
    <row r="66" spans="1:5" ht="45.1" x14ac:dyDescent="0.3">
      <c r="A66" s="63"/>
      <c r="B66" s="64"/>
      <c r="C66" s="64"/>
      <c r="D66" s="64"/>
      <c r="E66" s="64"/>
    </row>
    <row r="67" spans="1:5" ht="45.1" x14ac:dyDescent="0.3">
      <c r="A67" s="63"/>
      <c r="B67" s="64"/>
      <c r="C67" s="64"/>
      <c r="D67" s="64"/>
      <c r="E67" s="64"/>
    </row>
    <row r="68" spans="1:5" ht="45.1" x14ac:dyDescent="0.3">
      <c r="A68" s="63"/>
      <c r="B68" s="64"/>
      <c r="C68" s="64"/>
      <c r="D68" s="64"/>
      <c r="E68" s="64"/>
    </row>
    <row r="69" spans="1:5" ht="45.1" x14ac:dyDescent="0.3">
      <c r="A69" s="63"/>
      <c r="B69" s="64"/>
      <c r="C69" s="64"/>
      <c r="D69" s="64"/>
      <c r="E69" s="64"/>
    </row>
    <row r="70" spans="1:5" ht="30.05" x14ac:dyDescent="0.3">
      <c r="A70" s="63"/>
      <c r="B70" s="64"/>
      <c r="C70" s="64"/>
      <c r="D70" s="64"/>
      <c r="E70" s="64"/>
    </row>
    <row r="71" spans="1:5" ht="30.05" x14ac:dyDescent="0.3">
      <c r="A71" s="63"/>
      <c r="B71" s="64"/>
      <c r="C71" s="64"/>
      <c r="D71" s="64"/>
      <c r="E71" s="64"/>
    </row>
    <row r="72" spans="1:5" ht="45.1" x14ac:dyDescent="0.3">
      <c r="A72" s="63"/>
      <c r="B72" s="64"/>
      <c r="C72" s="64"/>
      <c r="D72" s="64"/>
      <c r="E72" s="64"/>
    </row>
    <row r="73" spans="1:5" ht="45.1" x14ac:dyDescent="0.3">
      <c r="A73" s="63"/>
      <c r="B73" s="64"/>
      <c r="C73" s="64"/>
      <c r="D73" s="64"/>
      <c r="E73" s="64"/>
    </row>
    <row r="74" spans="1:5" ht="45.1" x14ac:dyDescent="0.3">
      <c r="A74" s="63"/>
      <c r="B74" s="64"/>
      <c r="C74" s="64"/>
      <c r="D74" s="64"/>
      <c r="E74" s="64"/>
    </row>
    <row r="75" spans="1:5" ht="45.1" x14ac:dyDescent="0.3">
      <c r="A75" s="63"/>
      <c r="B75" s="64"/>
      <c r="C75" s="64"/>
      <c r="D75" s="64"/>
      <c r="E75" s="64"/>
    </row>
    <row r="76" spans="1:5" ht="30.05" x14ac:dyDescent="0.3">
      <c r="A76" s="63"/>
      <c r="B76" s="64"/>
      <c r="C76" s="64"/>
      <c r="D76" s="64"/>
      <c r="E76" s="64"/>
    </row>
    <row r="77" spans="1:5" ht="30.05" x14ac:dyDescent="0.3">
      <c r="A77" s="63"/>
      <c r="B77" s="64"/>
      <c r="C77" s="64"/>
      <c r="D77" s="64"/>
      <c r="E77" s="64"/>
    </row>
  </sheetData>
  <mergeCells count="1">
    <mergeCell ref="I1:N1"/>
  </mergeCells>
  <pageMargins left="0.7" right="0.7" top="0.75" bottom="0.75" header="0.3" footer="0.3"/>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871B9-2D61-4D5D-B4D9-D960D02A6839}">
  <dimension ref="A1:Q28"/>
  <sheetViews>
    <sheetView workbookViewId="0">
      <selection activeCell="E19" sqref="E19"/>
    </sheetView>
  </sheetViews>
  <sheetFormatPr defaultRowHeight="15.05" x14ac:dyDescent="0.3"/>
  <cols>
    <col min="1" max="1" width="15" bestFit="1" customWidth="1"/>
    <col min="2" max="2" width="14.77734375" bestFit="1" customWidth="1"/>
    <col min="8" max="8" width="59.88671875" bestFit="1" customWidth="1"/>
    <col min="9" max="9" width="15.109375" bestFit="1" customWidth="1"/>
    <col min="12" max="12" width="15" bestFit="1" customWidth="1"/>
    <col min="13" max="13" width="15.44140625" bestFit="1" customWidth="1"/>
    <col min="14" max="14" width="8.6640625" bestFit="1" customWidth="1"/>
    <col min="15" max="15" width="7.21875" bestFit="1" customWidth="1"/>
    <col min="16" max="16" width="4.77734375" bestFit="1" customWidth="1"/>
    <col min="17" max="17" width="10.5546875" bestFit="1" customWidth="1"/>
  </cols>
  <sheetData>
    <row r="1" spans="1:13" x14ac:dyDescent="0.3">
      <c r="A1" s="5" t="s">
        <v>403</v>
      </c>
      <c r="H1" s="5" t="s">
        <v>412</v>
      </c>
      <c r="L1" s="5" t="s">
        <v>420</v>
      </c>
    </row>
    <row r="2" spans="1:13" x14ac:dyDescent="0.3">
      <c r="H2" s="6" t="s">
        <v>397</v>
      </c>
      <c r="I2" t="s">
        <v>413</v>
      </c>
      <c r="L2" s="6" t="s">
        <v>397</v>
      </c>
      <c r="M2" t="s">
        <v>419</v>
      </c>
    </row>
    <row r="3" spans="1:13" x14ac:dyDescent="0.3">
      <c r="A3" s="6" t="s">
        <v>397</v>
      </c>
      <c r="B3" t="s">
        <v>402</v>
      </c>
      <c r="H3" s="7" t="s">
        <v>120</v>
      </c>
      <c r="I3">
        <v>5</v>
      </c>
      <c r="L3" s="7" t="s">
        <v>316</v>
      </c>
      <c r="M3" s="3">
        <v>0.64</v>
      </c>
    </row>
    <row r="4" spans="1:13" x14ac:dyDescent="0.3">
      <c r="A4" s="7" t="s">
        <v>398</v>
      </c>
      <c r="B4" s="22">
        <v>65</v>
      </c>
      <c r="H4" s="7" t="s">
        <v>328</v>
      </c>
      <c r="I4">
        <v>5</v>
      </c>
      <c r="L4" s="7" t="s">
        <v>324</v>
      </c>
      <c r="M4" s="3">
        <v>0.55000000000000004</v>
      </c>
    </row>
    <row r="5" spans="1:13" x14ac:dyDescent="0.3">
      <c r="A5" s="7" t="s">
        <v>399</v>
      </c>
      <c r="B5" s="22">
        <v>18</v>
      </c>
      <c r="H5" s="7" t="s">
        <v>350</v>
      </c>
      <c r="I5">
        <v>5</v>
      </c>
      <c r="L5" s="7" t="s">
        <v>340</v>
      </c>
      <c r="M5" s="3">
        <v>0.55000000000000004</v>
      </c>
    </row>
    <row r="6" spans="1:13" x14ac:dyDescent="0.3">
      <c r="A6" s="7" t="s">
        <v>400</v>
      </c>
      <c r="B6" s="22">
        <v>32</v>
      </c>
      <c r="H6" s="7" t="s">
        <v>326</v>
      </c>
      <c r="I6">
        <v>5</v>
      </c>
      <c r="L6" s="7" t="s">
        <v>154</v>
      </c>
      <c r="M6" s="3">
        <v>0.55000000000000004</v>
      </c>
    </row>
    <row r="7" spans="1:13" x14ac:dyDescent="0.3">
      <c r="A7" s="7" t="s">
        <v>401</v>
      </c>
      <c r="B7" s="22">
        <v>115</v>
      </c>
      <c r="H7" s="7" t="s">
        <v>327</v>
      </c>
      <c r="I7">
        <v>5</v>
      </c>
      <c r="L7" s="7" t="s">
        <v>331</v>
      </c>
      <c r="M7" s="3">
        <v>0.54</v>
      </c>
    </row>
    <row r="8" spans="1:13" x14ac:dyDescent="0.3">
      <c r="H8" s="7" t="s">
        <v>245</v>
      </c>
      <c r="I8">
        <v>5</v>
      </c>
      <c r="L8" s="7" t="s">
        <v>339</v>
      </c>
      <c r="M8" s="3">
        <v>0.54</v>
      </c>
    </row>
    <row r="9" spans="1:13" x14ac:dyDescent="0.3">
      <c r="H9" s="7" t="s">
        <v>117</v>
      </c>
      <c r="I9">
        <v>5</v>
      </c>
      <c r="L9" s="7" t="s">
        <v>120</v>
      </c>
      <c r="M9" s="3">
        <v>0.53</v>
      </c>
    </row>
    <row r="10" spans="1:13" x14ac:dyDescent="0.3">
      <c r="H10" s="7" t="s">
        <v>324</v>
      </c>
      <c r="I10">
        <v>4.8</v>
      </c>
      <c r="L10" s="7" t="s">
        <v>329</v>
      </c>
      <c r="M10" s="3">
        <v>0.53</v>
      </c>
    </row>
    <row r="11" spans="1:13" x14ac:dyDescent="0.3">
      <c r="H11" s="7" t="s">
        <v>22</v>
      </c>
      <c r="I11">
        <v>4.8</v>
      </c>
      <c r="L11" s="7" t="s">
        <v>102</v>
      </c>
      <c r="M11" s="3">
        <v>0.52</v>
      </c>
    </row>
    <row r="12" spans="1:13" x14ac:dyDescent="0.3">
      <c r="H12" s="7" t="s">
        <v>364</v>
      </c>
      <c r="I12">
        <v>4.8</v>
      </c>
      <c r="L12" s="7" t="s">
        <v>359</v>
      </c>
      <c r="M12" s="3">
        <v>0.52</v>
      </c>
    </row>
    <row r="13" spans="1:13" x14ac:dyDescent="0.3">
      <c r="A13" s="5" t="s">
        <v>404</v>
      </c>
      <c r="H13" s="7" t="s">
        <v>401</v>
      </c>
      <c r="I13">
        <v>4.9399999999999995</v>
      </c>
      <c r="L13" s="7" t="s">
        <v>401</v>
      </c>
      <c r="M13" s="3">
        <v>0.54727272727272724</v>
      </c>
    </row>
    <row r="14" spans="1:13" x14ac:dyDescent="0.3">
      <c r="A14" s="6" t="s">
        <v>397</v>
      </c>
      <c r="B14" t="s">
        <v>402</v>
      </c>
    </row>
    <row r="15" spans="1:13" x14ac:dyDescent="0.3">
      <c r="A15" s="7" t="s">
        <v>405</v>
      </c>
      <c r="B15" s="22">
        <v>26</v>
      </c>
    </row>
    <row r="16" spans="1:13" x14ac:dyDescent="0.3">
      <c r="A16" s="7" t="s">
        <v>406</v>
      </c>
      <c r="B16" s="22">
        <v>19</v>
      </c>
      <c r="H16" s="5" t="s">
        <v>414</v>
      </c>
      <c r="L16" s="5" t="s">
        <v>481</v>
      </c>
    </row>
    <row r="17" spans="1:17" x14ac:dyDescent="0.3">
      <c r="A17" s="7" t="s">
        <v>407</v>
      </c>
      <c r="B17" s="22">
        <v>58</v>
      </c>
      <c r="H17" s="6" t="s">
        <v>397</v>
      </c>
      <c r="I17" t="s">
        <v>410</v>
      </c>
      <c r="L17" s="6" t="s">
        <v>402</v>
      </c>
      <c r="M17" s="6" t="s">
        <v>482</v>
      </c>
    </row>
    <row r="18" spans="1:17" x14ac:dyDescent="0.3">
      <c r="A18" s="7" t="s">
        <v>408</v>
      </c>
      <c r="B18" s="22">
        <v>12</v>
      </c>
      <c r="H18" s="7" t="s">
        <v>194</v>
      </c>
      <c r="I18">
        <v>69</v>
      </c>
      <c r="L18" s="6" t="s">
        <v>397</v>
      </c>
      <c r="M18" t="s">
        <v>405</v>
      </c>
      <c r="N18" t="s">
        <v>406</v>
      </c>
      <c r="O18" t="s">
        <v>407</v>
      </c>
      <c r="P18" t="s">
        <v>408</v>
      </c>
      <c r="Q18" t="s">
        <v>401</v>
      </c>
    </row>
    <row r="19" spans="1:17" x14ac:dyDescent="0.3">
      <c r="A19" s="7" t="s">
        <v>401</v>
      </c>
      <c r="B19" s="22">
        <v>115</v>
      </c>
      <c r="H19" s="7" t="s">
        <v>30</v>
      </c>
      <c r="I19">
        <v>55</v>
      </c>
      <c r="L19" s="7" t="s">
        <v>398</v>
      </c>
      <c r="M19" s="22">
        <v>12</v>
      </c>
      <c r="N19" s="22">
        <v>8</v>
      </c>
      <c r="O19" s="22">
        <v>35</v>
      </c>
      <c r="P19" s="22">
        <v>10</v>
      </c>
      <c r="Q19" s="22">
        <v>65</v>
      </c>
    </row>
    <row r="20" spans="1:17" x14ac:dyDescent="0.3">
      <c r="H20" s="7" t="s">
        <v>89</v>
      </c>
      <c r="I20">
        <v>49</v>
      </c>
      <c r="L20" s="7" t="s">
        <v>399</v>
      </c>
      <c r="M20" s="22">
        <v>2</v>
      </c>
      <c r="N20" s="22">
        <v>1</v>
      </c>
      <c r="O20" s="22">
        <v>14</v>
      </c>
      <c r="P20" s="22">
        <v>1</v>
      </c>
      <c r="Q20" s="22">
        <v>18</v>
      </c>
    </row>
    <row r="21" spans="1:17" x14ac:dyDescent="0.3">
      <c r="H21" s="7" t="s">
        <v>68</v>
      </c>
      <c r="I21">
        <v>44</v>
      </c>
      <c r="L21" s="7" t="s">
        <v>400</v>
      </c>
      <c r="M21" s="22">
        <v>12</v>
      </c>
      <c r="N21" s="22">
        <v>10</v>
      </c>
      <c r="O21" s="22">
        <v>9</v>
      </c>
      <c r="P21" s="22">
        <v>1</v>
      </c>
      <c r="Q21" s="22">
        <v>32</v>
      </c>
    </row>
    <row r="22" spans="1:17" x14ac:dyDescent="0.3">
      <c r="H22" s="7" t="s">
        <v>44</v>
      </c>
      <c r="I22">
        <v>39</v>
      </c>
      <c r="L22" s="7" t="s">
        <v>401</v>
      </c>
      <c r="M22" s="22">
        <v>26</v>
      </c>
      <c r="N22" s="22">
        <v>19</v>
      </c>
      <c r="O22" s="22">
        <v>58</v>
      </c>
      <c r="P22" s="22">
        <v>12</v>
      </c>
      <c r="Q22" s="22">
        <v>115</v>
      </c>
    </row>
    <row r="23" spans="1:17" x14ac:dyDescent="0.3">
      <c r="A23" s="5" t="s">
        <v>409</v>
      </c>
      <c r="H23" s="7" t="s">
        <v>332</v>
      </c>
      <c r="I23">
        <v>36</v>
      </c>
    </row>
    <row r="24" spans="1:17" x14ac:dyDescent="0.3">
      <c r="A24" s="6" t="s">
        <v>397</v>
      </c>
      <c r="B24" t="s">
        <v>411</v>
      </c>
      <c r="H24" s="7" t="s">
        <v>114</v>
      </c>
      <c r="I24">
        <v>32</v>
      </c>
    </row>
    <row r="25" spans="1:17" x14ac:dyDescent="0.3">
      <c r="A25" s="7" t="s">
        <v>398</v>
      </c>
      <c r="B25">
        <v>11.133333333333333</v>
      </c>
      <c r="H25" s="7" t="s">
        <v>14</v>
      </c>
      <c r="I25">
        <v>24</v>
      </c>
    </row>
    <row r="26" spans="1:17" x14ac:dyDescent="0.3">
      <c r="A26" s="7" t="s">
        <v>399</v>
      </c>
      <c r="B26">
        <v>9.5</v>
      </c>
      <c r="H26" s="7" t="s">
        <v>111</v>
      </c>
      <c r="I26">
        <v>20</v>
      </c>
    </row>
    <row r="27" spans="1:17" x14ac:dyDescent="0.3">
      <c r="A27" s="7" t="s">
        <v>400</v>
      </c>
      <c r="B27">
        <v>15.260869565217391</v>
      </c>
      <c r="H27" s="7" t="s">
        <v>97</v>
      </c>
      <c r="I27">
        <v>20</v>
      </c>
    </row>
    <row r="28" spans="1:17" x14ac:dyDescent="0.3">
      <c r="A28" s="7" t="s">
        <v>401</v>
      </c>
      <c r="B28">
        <v>12.684210526315789</v>
      </c>
      <c r="H28" s="7" t="s">
        <v>401</v>
      </c>
      <c r="I28">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99923-BD2A-44FB-A229-F67802E0E21D}">
  <dimension ref="B6:Z75"/>
  <sheetViews>
    <sheetView showGridLines="0" topLeftCell="A40" zoomScale="90" zoomScaleNormal="90" workbookViewId="0">
      <selection activeCell="L73" sqref="L73"/>
    </sheetView>
  </sheetViews>
  <sheetFormatPr defaultRowHeight="15.05" x14ac:dyDescent="0.3"/>
  <cols>
    <col min="1" max="1" width="6.88671875" customWidth="1"/>
    <col min="2" max="2" width="7.88671875" customWidth="1"/>
    <col min="3" max="3" width="9.88671875" customWidth="1"/>
    <col min="4" max="4" width="7.109375" customWidth="1"/>
    <col min="5" max="5" width="4" customWidth="1"/>
    <col min="9" max="9" width="9.33203125" customWidth="1"/>
    <col min="10" max="10" width="5.5546875" customWidth="1"/>
    <col min="11" max="11" width="7.88671875" customWidth="1"/>
    <col min="12" max="12" width="10.33203125" customWidth="1"/>
    <col min="13" max="13" width="16.109375" customWidth="1"/>
  </cols>
  <sheetData>
    <row r="6" spans="2:26" ht="15.05" customHeight="1" x14ac:dyDescent="0.3">
      <c r="B6" s="19" t="s">
        <v>375</v>
      </c>
      <c r="C6" s="20"/>
      <c r="D6" s="21">
        <f>Analysis!B2</f>
        <v>115</v>
      </c>
      <c r="F6" s="15" t="s">
        <v>415</v>
      </c>
      <c r="G6" s="13"/>
      <c r="H6" s="17">
        <f>Analysis!B3</f>
        <v>1172.7913043478261</v>
      </c>
      <c r="I6" s="17"/>
      <c r="K6" s="15" t="s">
        <v>416</v>
      </c>
      <c r="L6" s="13"/>
      <c r="M6" s="16">
        <f>Analysis!B4</f>
        <v>0.36956521739130432</v>
      </c>
      <c r="O6" s="15" t="s">
        <v>417</v>
      </c>
      <c r="P6" s="13"/>
      <c r="Q6" s="16">
        <f>Analysis!B5</f>
        <v>3.8894736842105258</v>
      </c>
      <c r="R6" s="16"/>
      <c r="T6" s="15" t="s">
        <v>418</v>
      </c>
      <c r="U6" s="13"/>
      <c r="V6" s="18">
        <f>Analysis!B6</f>
        <v>723</v>
      </c>
      <c r="X6" s="71" t="s">
        <v>480</v>
      </c>
      <c r="Y6" s="72"/>
      <c r="Z6" s="18">
        <f>Analysis!B7</f>
        <v>22</v>
      </c>
    </row>
    <row r="7" spans="2:26" ht="15.05" customHeight="1" x14ac:dyDescent="0.3">
      <c r="B7" s="20"/>
      <c r="C7" s="20"/>
      <c r="D7" s="21"/>
      <c r="F7" s="13"/>
      <c r="G7" s="13"/>
      <c r="H7" s="17"/>
      <c r="I7" s="17"/>
      <c r="K7" s="13"/>
      <c r="L7" s="13"/>
      <c r="M7" s="16"/>
      <c r="O7" s="13"/>
      <c r="P7" s="13"/>
      <c r="Q7" s="16"/>
      <c r="R7" s="16"/>
      <c r="T7" s="13"/>
      <c r="U7" s="13"/>
      <c r="V7" s="16"/>
      <c r="X7" s="72"/>
      <c r="Y7" s="72"/>
      <c r="Z7" s="16"/>
    </row>
    <row r="8" spans="2:26" ht="15.05" customHeight="1" x14ac:dyDescent="0.3">
      <c r="B8" s="20"/>
      <c r="C8" s="20"/>
      <c r="D8" s="21"/>
      <c r="F8" s="13"/>
      <c r="G8" s="13"/>
      <c r="H8" s="17"/>
      <c r="I8" s="17"/>
      <c r="K8" s="13"/>
      <c r="L8" s="13"/>
      <c r="M8" s="16"/>
      <c r="O8" s="13"/>
      <c r="P8" s="13"/>
      <c r="Q8" s="16"/>
      <c r="R8" s="16"/>
      <c r="T8" s="13"/>
      <c r="U8" s="13"/>
      <c r="V8" s="16"/>
      <c r="X8" s="72"/>
      <c r="Y8" s="72"/>
      <c r="Z8" s="16"/>
    </row>
    <row r="9" spans="2:26" ht="15.05" customHeight="1" x14ac:dyDescent="0.3"/>
    <row r="14" spans="2:26" ht="15.05" customHeight="1" x14ac:dyDescent="0.3"/>
    <row r="15" spans="2:26" ht="15.05" customHeight="1" x14ac:dyDescent="0.3">
      <c r="D15" s="12"/>
      <c r="E15" s="11"/>
      <c r="F15" s="11"/>
    </row>
    <row r="16" spans="2:26" ht="15.05" customHeight="1" x14ac:dyDescent="0.3"/>
    <row r="30" spans="7:7" ht="15.65" x14ac:dyDescent="0.3">
      <c r="G30" s="14"/>
    </row>
    <row r="73" spans="13:16" ht="29.45" x14ac:dyDescent="0.3">
      <c r="M73" s="24"/>
      <c r="N73" s="24"/>
      <c r="O73" s="24"/>
      <c r="P73" s="24"/>
    </row>
    <row r="75" spans="13:16" ht="29.45" x14ac:dyDescent="0.45">
      <c r="M75" s="23" t="s">
        <v>421</v>
      </c>
      <c r="N75" s="10"/>
      <c r="O75" s="10"/>
    </row>
  </sheetData>
  <mergeCells count="15">
    <mergeCell ref="X6:Y8"/>
    <mergeCell ref="Z6:Z8"/>
    <mergeCell ref="H6:I8"/>
    <mergeCell ref="Q6:R8"/>
    <mergeCell ref="V6:V8"/>
    <mergeCell ref="D15:F15"/>
    <mergeCell ref="M73:P73"/>
    <mergeCell ref="M75:O75"/>
    <mergeCell ref="B6:C8"/>
    <mergeCell ref="D6:D8"/>
    <mergeCell ref="F6:G8"/>
    <mergeCell ref="K6:L8"/>
    <mergeCell ref="M6:M8"/>
    <mergeCell ref="O6:P8"/>
    <mergeCell ref="T6:U8"/>
  </mergeCells>
  <phoneticPr fontId="20"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17049-2C66-48B0-A75E-498FF3AB524B}">
  <dimension ref="A1:N20"/>
  <sheetViews>
    <sheetView workbookViewId="0">
      <selection activeCell="N7" sqref="N7"/>
    </sheetView>
  </sheetViews>
  <sheetFormatPr defaultRowHeight="15.05" x14ac:dyDescent="0.3"/>
  <cols>
    <col min="1" max="1" width="18.44140625" customWidth="1"/>
    <col min="2" max="2" width="33.109375" customWidth="1"/>
    <col min="3" max="3" width="18.5546875" customWidth="1"/>
    <col min="4" max="4" width="21.33203125" bestFit="1" customWidth="1"/>
    <col min="10" max="10" width="17.6640625" customWidth="1"/>
    <col min="11" max="11" width="26.21875" customWidth="1"/>
  </cols>
  <sheetData>
    <row r="1" spans="1:14" x14ac:dyDescent="0.3">
      <c r="A1" s="8" t="s">
        <v>422</v>
      </c>
      <c r="B1" s="10"/>
      <c r="C1" s="10"/>
      <c r="J1" s="61" t="s">
        <v>471</v>
      </c>
      <c r="K1" s="60"/>
      <c r="L1" s="60"/>
      <c r="M1" s="60"/>
      <c r="N1" s="60"/>
    </row>
    <row r="2" spans="1:14" x14ac:dyDescent="0.3">
      <c r="A2" s="26" t="s">
        <v>423</v>
      </c>
      <c r="B2" s="27" t="s">
        <v>424</v>
      </c>
      <c r="C2" s="28" t="s">
        <v>425</v>
      </c>
      <c r="J2" s="59" t="s">
        <v>472</v>
      </c>
      <c r="K2" s="30"/>
    </row>
    <row r="3" spans="1:14" x14ac:dyDescent="0.3">
      <c r="A3" s="29" t="s">
        <v>0</v>
      </c>
      <c r="B3" s="55" t="s">
        <v>426</v>
      </c>
      <c r="C3" s="31" t="s">
        <v>432</v>
      </c>
      <c r="J3" s="30"/>
      <c r="K3" s="30" t="s">
        <v>473</v>
      </c>
    </row>
    <row r="4" spans="1:14" x14ac:dyDescent="0.3">
      <c r="A4" s="29" t="s">
        <v>368</v>
      </c>
      <c r="B4" s="55" t="s">
        <v>427</v>
      </c>
      <c r="C4" s="31" t="s">
        <v>433</v>
      </c>
      <c r="J4" s="30"/>
      <c r="K4" s="30" t="s">
        <v>474</v>
      </c>
    </row>
    <row r="5" spans="1:14" x14ac:dyDescent="0.3">
      <c r="A5" s="29" t="s">
        <v>369</v>
      </c>
      <c r="B5" s="55" t="s">
        <v>428</v>
      </c>
      <c r="C5" s="31" t="s">
        <v>433</v>
      </c>
      <c r="J5" s="30"/>
      <c r="K5" s="30" t="s">
        <v>475</v>
      </c>
    </row>
    <row r="6" spans="1:14" x14ac:dyDescent="0.3">
      <c r="A6" s="29" t="s">
        <v>3</v>
      </c>
      <c r="B6" s="55" t="s">
        <v>429</v>
      </c>
      <c r="C6" s="31" t="s">
        <v>434</v>
      </c>
      <c r="J6" s="59" t="s">
        <v>476</v>
      </c>
      <c r="K6" s="30" t="s">
        <v>477</v>
      </c>
    </row>
    <row r="7" spans="1:14" x14ac:dyDescent="0.3">
      <c r="A7" s="29" t="s">
        <v>4</v>
      </c>
      <c r="B7" s="55" t="s">
        <v>430</v>
      </c>
      <c r="C7" s="31" t="s">
        <v>435</v>
      </c>
      <c r="J7" s="30"/>
      <c r="K7" s="30" t="s">
        <v>478</v>
      </c>
    </row>
    <row r="8" spans="1:14" x14ac:dyDescent="0.3">
      <c r="A8" s="32" t="s">
        <v>370</v>
      </c>
      <c r="B8" s="56" t="s">
        <v>431</v>
      </c>
      <c r="C8" s="34" t="s">
        <v>436</v>
      </c>
      <c r="J8" s="30"/>
      <c r="K8" s="30" t="s">
        <v>479</v>
      </c>
    </row>
    <row r="11" spans="1:14" x14ac:dyDescent="0.3">
      <c r="A11" s="9" t="s">
        <v>437</v>
      </c>
      <c r="B11" s="9"/>
      <c r="C11" s="9"/>
      <c r="D11" s="58"/>
    </row>
    <row r="12" spans="1:14" x14ac:dyDescent="0.3">
      <c r="A12" s="26" t="s">
        <v>438</v>
      </c>
      <c r="B12" s="27" t="s">
        <v>447</v>
      </c>
      <c r="C12" s="27" t="s">
        <v>453</v>
      </c>
      <c r="D12" s="28" t="s">
        <v>462</v>
      </c>
    </row>
    <row r="13" spans="1:14" ht="47.6" customHeight="1" x14ac:dyDescent="0.3">
      <c r="A13" s="35" t="s">
        <v>439</v>
      </c>
      <c r="B13" s="54" t="s">
        <v>448</v>
      </c>
      <c r="C13" s="55" t="s">
        <v>454</v>
      </c>
      <c r="D13" s="57" t="s">
        <v>463</v>
      </c>
    </row>
    <row r="14" spans="1:14" ht="51.35" customHeight="1" x14ac:dyDescent="0.3">
      <c r="A14" s="35" t="s">
        <v>440</v>
      </c>
      <c r="B14" s="54" t="s">
        <v>449</v>
      </c>
      <c r="C14" s="55" t="s">
        <v>455</v>
      </c>
      <c r="D14" s="57" t="s">
        <v>464</v>
      </c>
    </row>
    <row r="15" spans="1:14" ht="48.25" customHeight="1" x14ac:dyDescent="0.3">
      <c r="A15" s="35" t="s">
        <v>441</v>
      </c>
      <c r="B15" s="54" t="s">
        <v>448</v>
      </c>
      <c r="C15" s="55" t="s">
        <v>456</v>
      </c>
      <c r="D15" s="57" t="s">
        <v>465</v>
      </c>
    </row>
    <row r="16" spans="1:14" ht="65.75" customHeight="1" x14ac:dyDescent="0.3">
      <c r="A16" s="35" t="s">
        <v>442</v>
      </c>
      <c r="B16" s="54" t="s">
        <v>450</v>
      </c>
      <c r="C16" s="55" t="s">
        <v>457</v>
      </c>
      <c r="D16" s="57" t="s">
        <v>466</v>
      </c>
    </row>
    <row r="17" spans="1:4" ht="50.1" customHeight="1" x14ac:dyDescent="0.3">
      <c r="A17" s="35" t="s">
        <v>443</v>
      </c>
      <c r="B17" s="54">
        <v>1</v>
      </c>
      <c r="C17" s="55" t="s">
        <v>458</v>
      </c>
      <c r="D17" s="57" t="s">
        <v>467</v>
      </c>
    </row>
    <row r="18" spans="1:4" ht="40.1" customHeight="1" x14ac:dyDescent="0.3">
      <c r="A18" s="35" t="s">
        <v>444</v>
      </c>
      <c r="B18" s="54" t="s">
        <v>448</v>
      </c>
      <c r="C18" s="55" t="s">
        <v>459</v>
      </c>
      <c r="D18" s="57" t="s">
        <v>468</v>
      </c>
    </row>
    <row r="19" spans="1:4" ht="48.85" customHeight="1" x14ac:dyDescent="0.3">
      <c r="A19" s="35" t="s">
        <v>445</v>
      </c>
      <c r="B19" s="54" t="s">
        <v>451</v>
      </c>
      <c r="C19" s="55" t="s">
        <v>460</v>
      </c>
      <c r="D19" s="57" t="s">
        <v>469</v>
      </c>
    </row>
    <row r="20" spans="1:4" ht="40.1" customHeight="1" x14ac:dyDescent="0.3">
      <c r="A20" s="35" t="s">
        <v>446</v>
      </c>
      <c r="B20" s="54" t="s">
        <v>452</v>
      </c>
      <c r="C20" s="55" t="s">
        <v>461</v>
      </c>
      <c r="D20" s="57" t="s">
        <v>470</v>
      </c>
    </row>
  </sheetData>
  <mergeCells count="3">
    <mergeCell ref="A1:C1"/>
    <mergeCell ref="A11:C11"/>
    <mergeCell ref="J1:N1"/>
  </mergeCells>
  <phoneticPr fontId="20" type="noConversion"/>
  <conditionalFormatting sqref="A2:C2">
    <cfRule type="colorScale" priority="1">
      <colorScale>
        <cfvo type="min"/>
        <cfvo type="percentile" val="50"/>
        <cfvo type="max"/>
        <color rgb="FFF8696B"/>
        <color rgb="FFFFEB84"/>
        <color rgb="FF63BE7B"/>
      </colorScale>
    </cfRule>
  </conditionalFormatting>
  <conditionalFormatting sqref="A3:C8">
    <cfRule type="colorScale" priority="3">
      <colorScale>
        <cfvo type="min"/>
        <cfvo type="percentile" val="50"/>
        <cfvo type="max"/>
        <color rgb="FFF8696B"/>
        <color rgb="FFFFEB84"/>
        <color rgb="FF63BE7B"/>
      </colorScale>
    </cfRule>
  </conditionalFormatting>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Raw_Dataset</vt:lpstr>
      <vt:lpstr>Cleaned_Dataset</vt:lpstr>
      <vt:lpstr>Analysis</vt:lpstr>
      <vt:lpstr>Pivot_Tables</vt:lpstr>
      <vt:lpstr>Dashboard</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Javan Paulo</dc:creator>
  <cp:lastModifiedBy>ADMIN</cp:lastModifiedBy>
  <dcterms:created xsi:type="dcterms:W3CDTF">2026-09-09T19:02:25Z</dcterms:created>
  <dcterms:modified xsi:type="dcterms:W3CDTF">2026-09-14T20:56:33Z</dcterms:modified>
</cp:coreProperties>
</file>